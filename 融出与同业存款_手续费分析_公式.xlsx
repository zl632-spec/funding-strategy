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72a38b29a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与结论" sheetId="1" r:id="Rbabfce59ef0e4d3e"/>
    <x:sheet xmlns:r="http://schemas.openxmlformats.org/officeDocument/2006/relationships" name="费用明细" sheetId="2" r:id="R159ab978bf0b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.0000%"/>
    <x:numFmt numFmtId="202" formatCode="0"/>
    <x:numFmt numFmtId="203" formatCode="#,##0.00"/>
    <x:numFmt numFmtId="204" formatCode="#,##0.000"/>
    <x:numFmt numFmtId="205" formatCode="  @"/>
    <x:numFmt numFmtId="206" formatCode="0.000000"/>
  </x:numFmts>
  <x:fonts count="6">
    <x:font>
      <x:sz val="11"/>
      <x:name val="Carlito"/>
    </x:font>
    <x:font>
      <x:sz val="10"/>
      <x:color rgb="FF233D5A"/>
      <x:name val="Arial"/>
    </x:font>
    <x:font>
      <x:b/>
      <x:sz val="14"/>
      <x:color rgb="FF204E7C"/>
      <x:name val="Arial"/>
    </x:font>
    <x:font>
      <x:sz val="10"/>
      <x:color rgb="FF235DB1"/>
      <x:name val="Arial"/>
    </x:font>
    <x:font>
      <x:sz val="10"/>
      <x:color rgb="FF23734E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C"/>
      </x:patternFill>
    </x:fill>
    <x:fill>
      <x:patternFill patternType="solid">
        <x:fgColor rgb="FF234F7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A94B51"/>
      </x:font>
      <x:fill>
        <x:patternFill patternType="solid">
          <x:bgColor rgb="FFFBEEEE"/>
        </x:patternFill>
      </x:fill>
    </x:dxf>
    <x:dxf>
      <x:font>
        <x:color rgb="FFA94B51"/>
      </x:font>
      <x:fill>
        <x:patternFill patternType="solid">
          <x:bgColor rgb="FFFBEE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a5c01c2b3411b" /><Relationship Type="http://schemas.openxmlformats.org/officeDocument/2006/relationships/theme" Target="/xl/theme/theme1.xml" Id="R59bf8c10eba64856" /><Relationship Type="http://schemas.openxmlformats.org/officeDocument/2006/relationships/sharedStrings" Target="/xl/sharedStrings.xml" Id="R5d64a9278cfc46e5" /><Relationship Type="http://schemas.openxmlformats.org/officeDocument/2006/relationships/worksheet" Target="/xl/worksheets/sheet1.xml" Id="Rbabfce59ef0e4d3e" /><Relationship Type="http://schemas.openxmlformats.org/officeDocument/2006/relationships/worksheet" Target="/xl/worksheets/sheet2.xml" Id="R159ab978bf0b4c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6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回购融出与同业存款手续费测算</x:v>
      </x:c>
      <x:c r="B2" s="3"/>
      <x:c r="C2" s="3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2" t="str">
        <x:v>黄色蓝字为可修改输入。金额为人民币，利率为年化。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 t="str">
        <x:v>整单金额（亿元）</x:v>
      </x:c>
      <x:c r="B5" s="6" t="n">
        <x:v>1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整单融出报价</x:v>
      </x:c>
      <x:c r="B6" s="7" t="n">
        <x:v>0.014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 t="str">
        <x:v>同业存款利率</x:v>
      </x:c>
      <x:c r="B7" s="7" t="n">
        <x:v>0.0135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 t="str">
        <x:v>实际占款自然日数</x:v>
      </x:c>
      <x:c r="B8" s="8" t="n">
        <x:v>7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 t="str">
        <x:v>合约档位：1隔夜 / 0其他</x:v>
      </x:c>
      <x:c r="B9" s="8" t="n">
        <x:v>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3" customHeight="1">
      <x:c r="A10" s="2" t="str">
        <x:v>隔夜前台费（元/百万元）</x:v>
      </x:c>
      <x:c r="B10" s="6" t="n">
        <x:v>0.5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3" customHeight="1">
      <x:c r="A11" s="2" t="str">
        <x:v>其他期限前台费（元/百万元）</x:v>
      </x:c>
      <x:c r="B11" s="6" t="n">
        <x:v>1.5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2" t="str">
        <x:v>前台单笔封顶（元）</x:v>
      </x:c>
      <x:c r="B12" s="9" t="n">
        <x:v>1000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A13" s="2" t="str">
        <x:v>单券结算费（元/笔）</x:v>
      </x:c>
      <x:c r="B13" s="9" t="n">
        <x:v>120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 t="str">
        <x:v>多券结算费（元/笔）</x:v>
      </x:c>
      <x:c r="B14" s="9" t="n">
        <x:v>200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 t="str">
        <x:v>结算费折扣系数</x:v>
      </x:c>
      <x:c r="B15" s="6" t="n">
        <x:v>1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 t="str">
        <x:v>年化计息天数</x:v>
      </x:c>
      <x:c r="B16" s="8" t="n">
        <x:v>365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 t="str">
        <x:v>目标单笔金额（亿元）</x:v>
      </x:c>
      <x:c r="B17" s="6" t="n">
        <x:v>0.2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 t="str">
        <x:v>押券：0单券 / 1多券</x:v>
      </x:c>
      <x:c r="B18" s="8" t="n">
        <x:v>0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 t="str">
        <x:v>来源：既定研究收费参数；利率为可调整情景，非实时行情。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34" customHeight="1">
      <x:c r="A22" s="22" t="str">
        <x:v>测算项目</x:v>
      </x:c>
      <x:c r="B22" s="22" t="str">
        <x:v>结果</x:v>
      </x:c>
      <x:c r="C22" s="22" t="str">
        <x:v>计算说明</x:v>
      </x:c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 t="str">
        <x:v>前台手续费（元）</x:v>
      </x:c>
      <x:c r="B23" s="10" t="n">
        <x:f>MIN(B5*100000000/1000000*IF(B9=1,B10,B11),B12)</x:f>
        <x:v>150</x:v>
      </x:c>
      <x:c r="C23" s="13" t="str">
        <x:v>按合约费档计费，单笔封顶</x:v>
      </x:c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 t="str">
        <x:v>结算手续费（元）</x:v>
      </x:c>
      <x:c r="B24" s="10" t="n">
        <x:f>IF(B18=0,B13,B14)*B15</x:f>
        <x:v>120</x:v>
      </x:c>
      <x:c r="C24" s="13" t="str">
        <x:v>折扣仅作用于结算费</x:v>
      </x:c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 t="str">
        <x:v>总手续费（元）</x:v>
      </x:c>
      <x:c r="B25" s="10" t="n">
        <x:f>B23+B24</x:f>
        <x:v>270</x:v>
      </x:c>
      <x:c r="C25" s="13" t="str">
        <x:v>每笔前台费与一项适用结算费</x:v>
      </x:c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 t="str">
        <x:v>融出减存款利差（bp）</x:v>
      </x:c>
      <x:c r="B26" s="10" t="n">
        <x:f>(B6-B7)*10000</x:f>
        <x:v>5.000000000000004</x:v>
      </x:c>
      <x:c r="C26" s="13" t="str">
        <x:v>两边利率均存储为百分比数值</x:v>
      </x:c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 t="str">
        <x:v>覆盖费用所需利差（bp）</x:v>
      </x:c>
      <x:c r="B27" s="10" t="n">
        <x:f>B25/(B5*100000000)*B16/B8*10000</x:f>
        <x:v>1.4078571428571431</x:v>
      </x:c>
      <x:c r="C27" s="13" t="str">
        <x:v>总费用除以本金，按实际天数年化</x:v>
      </x:c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 t="str">
        <x:v>相对存款最低融出报价</x:v>
      </x:c>
      <x:c r="B28" s="11" t="n">
        <x:f>B7+B27/10000</x:f>
        <x:v>0.013640785714285715</x:v>
      </x:c>
      <x:c r="C28" s="13" t="str">
        <x:v>持平点，报价更高才形成正增量</x:v>
      </x:c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 t="str">
        <x:v>相对存款净增量（元）</x:v>
      </x:c>
      <x:c r="B29" s="10" t="n">
        <x:f>B5*100000000*(B6-B7)*B8/B16-B25</x:f>
        <x:v>688.9041095890419</x:v>
      </x:c>
      <x:c r="C29" s="13" t="str">
        <x:v>同本金、同实际占款区间，单利</x:v>
      </x:c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 t="str">
        <x:v>单券相对多券节省（元）</x:v>
      </x:c>
      <x:c r="B30" s="10" t="n">
        <x:f>(B14-B13)*B15</x:f>
        <x:v>80</x:v>
      </x:c>
      <x:c r="C30" s="13" t="str">
        <x:v>同等其他条件下的费用差</x:v>
      </x:c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 t="str">
        <x:v>单券年化收益改善（bp）</x:v>
      </x:c>
      <x:c r="B31" s="10" t="n">
        <x:f>B30/(B5*100000000)*B16/B8*10000</x:f>
        <x:v>0.41714285714285715</x:v>
      </x:c>
      <x:c r="C31" s="13" t="str">
        <x:v>金额与天数共同决定收益率影响</x:v>
      </x:c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 t="str">
        <x:v>目标单笔手续费（元）</x:v>
      </x:c>
      <x:c r="B32" s="10" t="n">
        <x:f>MIN(B17*100000000/1000000*IF(B9=1,B10,B11),B12)+B24</x:f>
        <x:v>150</x:v>
      </x:c>
      <x:c r="C32" s="13" t="str">
        <x:v>目标单笔按相同合约和押券收费</x:v>
      </x:c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 t="str">
        <x:v>目标单笔费用门槛（bp）</x:v>
      </x:c>
      <x:c r="B33" s="10" t="n">
        <x:f>B32/(B17*100000000)*B16/B8*10000</x:f>
        <x:v>3.9107142857142856</x:v>
      </x:c>
      <x:c r="C33" s="13" t="str">
        <x:v>目标单笔与存款持平所需利差</x:v>
      </x:c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 t="str">
        <x:v>目标单笔相对整单补偿（bp）</x:v>
      </x:c>
      <x:c r="B34" s="10" t="n">
        <x:f>B33-B27</x:f>
        <x:v>2.5028571428571427</x:v>
      </x:c>
      <x:c r="C34" s="13" t="str">
        <x:v>补偿单位本金年化费用差</x:v>
      </x:c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 t="str">
        <x:v>保持整单净收益率的目标报价</x:v>
      </x:c>
      <x:c r="B35" s="11" t="n">
        <x:f>B6+B34/10000</x:f>
        <x:v>0.014250285714285715</x:v>
      </x:c>
      <x:c r="C35" s="13" t="str">
        <x:v>不等于仅覆盖费用的最低报价</x:v>
      </x:c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3" customHeight="1">
      <x:c r="A36" s="2" t="str">
        <x:v>目标单笔相对存款最低报价</x:v>
      </x:c>
      <x:c r="B36" s="11" t="n">
        <x:f>B7+B33/10000</x:f>
        <x:v>0.013891071428571428</x:v>
      </x:c>
      <x:c r="C36" s="13" t="str">
        <x:v>只要求与存款持平</x:v>
      </x:c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2" t="str">
        <x:v>整单拆分累计费用（元）</x:v>
      </x:c>
      <x:c r="B37" s="10" t="n">
        <x:f>IF(B17&gt;=B5,B25,B41*B32+IF(B42&gt;0.005,MIN(B42/1000000*IF(B9=1,B10,B11),B12)+B24,0))</x:f>
        <x:v>750</x:v>
      </x:c>
      <x:c r="C37" s="13" t="str">
        <x:v>按目标金额拆分，剩余金额单独计一笔</x:v>
      </x:c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 t="str">
        <x:v>拆单额外费用（元）</x:v>
      </x:c>
      <x:c r="B38" s="10" t="n">
        <x:f>B37-B25</x:f>
        <x:v>480</x:v>
      </x:c>
      <x:c r="C38" s="13" t="str">
        <x:v>相同总本金与占款区间</x:v>
      </x:c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 t="str">
        <x:v>拆单整体报价补偿（bp）</x:v>
      </x:c>
      <x:c r="B39" s="10" t="n">
        <x:f>B38/(B5*100000000)*B16/B8*10000</x:f>
        <x:v>2.5028571428571427</x:v>
      </x:c>
      <x:c r="C39" s="13" t="str">
        <x:v>所有拆分交易合计净收益保持不变</x:v>
      </x:c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A40" s="2" t="str">
        <x:v>拆单整体所需报价</x:v>
      </x:c>
      <x:c r="B40" s="11" t="n">
        <x:f>B6+B39/10000</x:f>
        <x:v>0.014250285714285715</x:v>
      </x:c>
      <x:c r="C40" s="13" t="str">
        <x:v>与目标单笔的等净收益率报价分开</x:v>
      </x:c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2" t="str">
        <x:v>完整目标单笔数</x:v>
      </x:c>
      <x:c r="B41" s="2" t="n">
        <x:f>IF(B17&gt;=B5,1,INT((B5*100000000)/(B17*100000000)))</x:f>
        <x:v>5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 t="str">
        <x:v>拆分剩余金额（元）</x:v>
      </x:c>
      <x:c r="B42" s="12" t="n">
        <x:f>IF(B17&gt;=B5,0,MAX(0,B5*100000000-B41*B17*100000000))</x:f>
        <x:v>0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34" customHeight="1">
      <x:c r="A43" s="22" t="str">
        <x:v>期限</x:v>
      </x:c>
      <x:c r="B43" s="22" t="str">
        <x:v>占款天数</x:v>
      </x:c>
      <x:c r="C43" s="22" t="str">
        <x:v>前台费（元/百万元）</x:v>
      </x:c>
      <x:c r="D43" s="22" t="str">
        <x:v>结算费（元）</x:v>
      </x:c>
      <x:c r="E43" s="22" t="str">
        <x:v>每百万元额外利息</x:v>
      </x:c>
      <x:c r="F43" s="22" t="str">
        <x:v>盈亏平衡金额（元）</x:v>
      </x:c>
      <x:c r="G43" s="22" t="str">
        <x:v>金额（亿元）</x:v>
      </x:c>
      <x:c r="H43" s="2"/>
      <x:c r="I43" s="2"/>
      <x:c r="J43" s="2"/>
      <x:c r="K43" s="2"/>
      <x:c r="L43" s="2"/>
    </x:row>
    <x:row r="44" ht="23" customHeight="1">
      <x:c r="A44" s="2" t="str">
        <x:v>隔夜1天</x:v>
      </x:c>
      <x:c r="B44" s="2" t="n">
        <x:v>1</x:v>
      </x:c>
      <x:c r="C44" s="14" t="n">
        <x:f>$B$10</x:f>
        <x:v>0.5</x:v>
      </x:c>
      <x:c r="D44" s="12" t="n">
        <x:f>$B$24</x:f>
        <x:v>120</x:v>
      </x:c>
      <x:c r="E44" s="15" t="n">
        <x:f>$B$26/10000*B44/$B$16*1000000</x:f>
        <x:v>1.3698630136986312</x:v>
      </x:c>
      <x:c r="F44" s="12" t="n">
        <x:f>IF(E44&lt;=0,IF(AND(E44=0,D44=0,OR(C44=0,$B$12=0)),0,"无有限金额"),IF(OR(C44=0,$B$12=0),D44/E44*1000000,IF(E44&gt;C44,IF(D44/(E44-C44)*1000000&lt;=$B$12/C44*1000000,D44/(E44-C44)*1000000,($B$12+D44)/E44*1000000),($B$12+D44)/E44*1000000)))</x:f>
        <x:v>137952755.90551165</x:v>
      </x:c>
      <x:c r="G44" s="14" t="n">
        <x:f>IF(ISNUMBER(F44),F44/100000000,"无有限金额")</x:f>
        <x:v>1.3795275590551164</x:v>
      </x:c>
      <x:c r="H44" s="2"/>
      <x:c r="I44" s="2"/>
      <x:c r="J44" s="2"/>
      <x:c r="K44" s="2"/>
      <x:c r="L44" s="2"/>
    </x:row>
    <x:row r="45" ht="23" customHeight="1">
      <x:c r="A45" s="2" t="str">
        <x:v>隔夜3天</x:v>
      </x:c>
      <x:c r="B45" s="2" t="n">
        <x:v>3</x:v>
      </x:c>
      <x:c r="C45" s="14" t="n">
        <x:f>$B$10</x:f>
        <x:v>0.5</x:v>
      </x:c>
      <x:c r="D45" s="12" t="n">
        <x:f>$B$24</x:f>
        <x:v>120</x:v>
      </x:c>
      <x:c r="E45" s="15" t="n">
        <x:f>$B$26/10000*B45/$B$16*1000000</x:f>
        <x:v>4.109589041095894</x:v>
      </x:c>
      <x:c r="F45" s="12" t="n">
        <x:f>IF(E45&lt;=0,IF(AND(E45=0,D45=0,OR(C45=0,$B$12=0)),0,"无有限金额"),IF(OR(C45=0,$B$12=0),D45/E45*1000000,IF(E45&gt;C45,IF(D45/(E45-C45)*1000000&lt;=$B$12/C45*1000000,D45/(E45-C45)*1000000,($B$12+D45)/E45*1000000),($B$12+D45)/E45*1000000)))</x:f>
        <x:v>33244781.783681177</x:v>
      </x:c>
      <x:c r="G45" s="14" t="n">
        <x:f>IF(ISNUMBER(F45),F45/100000000,"无有限金额")</x:f>
        <x:v>0.33244781783681177</x:v>
      </x:c>
      <x:c r="H45" s="2"/>
      <x:c r="I45" s="2"/>
      <x:c r="J45" s="2"/>
      <x:c r="K45" s="2"/>
      <x:c r="L45" s="2"/>
    </x:row>
    <x:row r="46" ht="23" customHeight="1">
      <x:c r="A46" s="2" t="str">
        <x:v>7D</x:v>
      </x:c>
      <x:c r="B46" s="2" t="n">
        <x:v>7</x:v>
      </x:c>
      <x:c r="C46" s="14" t="n">
        <x:f>$B$11</x:f>
        <x:v>1.5</x:v>
      </x:c>
      <x:c r="D46" s="12" t="n">
        <x:f>$B$24</x:f>
        <x:v>120</x:v>
      </x:c>
      <x:c r="E46" s="15" t="n">
        <x:f>$B$26/10000*B46/$B$16*1000000</x:f>
        <x:v>9.589041095890419</x:v>
      </x:c>
      <x:c r="F46" s="12" t="n">
        <x:f>IF(E46&lt;=0,IF(AND(E46=0,D46=0,OR(C46=0,$B$12=0)),0,"无有限金额"),IF(OR(C46=0,$B$12=0),D46/E46*1000000,IF(E46&gt;C46,IF(D46/(E46-C46)*1000000&lt;=$B$12/C46*1000000,D46/(E46-C46)*1000000,($B$12+D46)/E46*1000000),($B$12+D46)/E46*1000000)))</x:f>
        <x:v>14834885.690093126</x:v>
      </x:c>
      <x:c r="G46" s="14" t="n">
        <x:f>IF(ISNUMBER(F46),F46/100000000,"无有限金额")</x:f>
        <x:v>0.14834885690093128</x:v>
      </x:c>
      <x:c r="H46" s="2"/>
      <x:c r="I46" s="2"/>
      <x:c r="J46" s="2"/>
      <x:c r="K46" s="2"/>
      <x:c r="L46" s="2"/>
    </x:row>
    <x:row r="47" ht="23" customHeight="1">
      <x:c r="A47" s="2" t="str">
        <x:v>14D</x:v>
      </x:c>
      <x:c r="B47" s="2" t="n">
        <x:v>14</x:v>
      </x:c>
      <x:c r="C47" s="14" t="n">
        <x:f>$B$11</x:f>
        <x:v>1.5</x:v>
      </x:c>
      <x:c r="D47" s="12" t="n">
        <x:f>$B$24</x:f>
        <x:v>120</x:v>
      </x:c>
      <x:c r="E47" s="15" t="n">
        <x:f>$B$26/10000*B47/$B$16*1000000</x:f>
        <x:v>19.178082191780838</x:v>
      </x:c>
      <x:c r="F47" s="12" t="n">
        <x:f>IF(E47&lt;=0,IF(AND(E47=0,D47=0,OR(C47=0,$B$12=0)),0,"无有限金额"),IF(OR(C47=0,$B$12=0),D47/E47*1000000,IF(E47&gt;C47,IF(D47/(E47-C47)*1000000&lt;=$B$12/C47*1000000,D47/(E47-C47)*1000000,($B$12+D47)/E47*1000000),($B$12+D47)/E47*1000000)))</x:f>
        <x:v>6788066.640836879</x:v>
      </x:c>
      <x:c r="G47" s="14" t="n">
        <x:f>IF(ISNUMBER(F47),F47/100000000,"无有限金额")</x:f>
        <x:v>0.06788066640836879</x:v>
      </x:c>
      <x:c r="H47" s="2"/>
      <x:c r="I47" s="2"/>
      <x:c r="J47" s="2"/>
      <x:c r="K47" s="2"/>
      <x:c r="L47" s="2"/>
    </x:row>
    <x:row r="48" ht="23" customHeight="1">
      <x:c r="A48" s="2" t="str">
        <x:v>21D</x:v>
      </x:c>
      <x:c r="B48" s="2" t="n">
        <x:v>21</x:v>
      </x:c>
      <x:c r="C48" s="14" t="n">
        <x:f>$B$11</x:f>
        <x:v>1.5</x:v>
      </x:c>
      <x:c r="D48" s="12" t="n">
        <x:f>$B$24</x:f>
        <x:v>120</x:v>
      </x:c>
      <x:c r="E48" s="15" t="n">
        <x:f>$B$26/10000*B48/$B$16*1000000</x:f>
        <x:v>28.767123287671257</x:v>
      </x:c>
      <x:c r="F48" s="12" t="n">
        <x:f>IF(E48&lt;=0,IF(AND(E48=0,D48=0,OR(C48=0,$B$12=0)),0,"无有限金额"),IF(OR(C48=0,$B$12=0),D48/E48*1000000,IF(E48&gt;C48,IF(D48/(E48-C48)*1000000&lt;=$B$12/C48*1000000,D48/(E48-C48)*1000000,($B$12+D48)/E48*1000000),($B$12+D48)/E48*1000000)))</x:f>
        <x:v>4400904.295403161</x:v>
      </x:c>
      <x:c r="G48" s="14" t="n">
        <x:f>IF(ISNUMBER(F48),F48/100000000,"无有限金额")</x:f>
        <x:v>0.04400904295403161</x:v>
      </x:c>
      <x:c r="H48" s="2"/>
      <x:c r="I48" s="2"/>
      <x:c r="J48" s="2"/>
      <x:c r="K48" s="2"/>
      <x:c r="L48" s="2"/>
    </x:row>
    <x:row r="49" ht="23" customHeight="1">
      <x:c r="A49" s="2" t="str">
        <x:v>28D</x:v>
      </x:c>
      <x:c r="B49" s="2" t="n">
        <x:v>28</x:v>
      </x:c>
      <x:c r="C49" s="14" t="n">
        <x:f>$B$11</x:f>
        <x:v>1.5</x:v>
      </x:c>
      <x:c r="D49" s="12" t="n">
        <x:f>$B$24</x:f>
        <x:v>120</x:v>
      </x:c>
      <x:c r="E49" s="15" t="n">
        <x:f>$B$26/10000*B49/$B$16*1000000</x:f>
        <x:v>38.356164383561676</x:v>
      </x:c>
      <x:c r="F49" s="12" t="n">
        <x:f>IF(E49&lt;=0,IF(AND(E49=0,D49=0,OR(C49=0,$B$12=0)),0,"无有限金额"),IF(OR(C49=0,$B$12=0),D49/E49*1000000,IF(E49&gt;C49,IF(D49/(E49-C49)*1000000&lt;=$B$12/C49*1000000,D49/(E49-C49)*1000000,($B$12+D49)/E49*1000000),($B$12+D49)/E49*1000000)))</x:f>
        <x:v>3255900.39026203</x:v>
      </x:c>
      <x:c r="G49" s="14" t="n">
        <x:f>IF(ISNUMBER(F49),F49/100000000,"无有限金额")</x:f>
        <x:v>0.0325590039026203</x:v>
      </x:c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3" customHeight="1">
      <x:c r="A52" s="2" t="str">
        <x:v>假设与解释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3" customHeight="1">
      <x:c r="A53" s="2" t="str">
        <x:v>存款无额外交易费用，融出每笔计费；两边同区间、单利、同年化口径。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 t="str">
        <x:v>隔夜3天是一笔交易，不是3D合约。其他期限前台费档相同，可改实际天数。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 t="str">
        <x:v>最低金额为持平点，严格占优需高于该金额；报价利差不为正时单独判断。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3" customHeight="1">
      <x:c r="A56" s="2" t="str">
        <x:v>金额越大门槛越低；封顶前并非严格反比例，封顶后同期限金额翻倍门槛减半。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3" customHeight="1">
      <x:c r="A57" s="2" t="str">
        <x:v>输入有效范围：金额和天数为正，费率与封顶非负，折扣及年化基准为正。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</x:sheetData>
  <x:conditionalFormatting sqref="B29:B29">
    <x:cfRule type="cellIs" dxfId="1" priority="1" operator="lessThan">
      <x:formula>0</x:formula>
    </x:cfRule>
  </x:conditionalFormatting>
  <x:dataValidations count="3">
    <x:dataValidation type="list" sqref="B9">
      <x:formula1>"0,1"</x:formula1>
    </x:dataValidation>
    <x:dataValidation type="list" sqref="B18">
      <x:formula1>"0,1"</x:formula1>
    </x:dataValidation>
    <x:dataValidation type="list" sqref="B16">
      <x:formula1>"365,360"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金额与实际占款测算明细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4" customHeight="1">
      <x:c r="A4" s="22" t="str">
        <x:v>金额（亿元）</x:v>
      </x:c>
      <x:c r="B4" s="22" t="str">
        <x:v>本金（元）</x:v>
      </x:c>
      <x:c r="C4" s="22" t="str">
        <x:v>合约</x:v>
      </x:c>
      <x:c r="D4" s="22" t="str">
        <x:v>实际天数</x:v>
      </x:c>
      <x:c r="E4" s="22" t="str">
        <x:v>前台费（元）</x:v>
      </x:c>
      <x:c r="F4" s="22" t="str">
        <x:v>结算费（元）</x:v>
      </x:c>
      <x:c r="G4" s="22" t="str">
        <x:v>总费用（元）</x:v>
      </x:c>
      <x:c r="H4" s="22" t="str">
        <x:v>临界利差（bp）</x:v>
      </x:c>
      <x:c r="I4" s="22" t="str">
        <x:v>最低报价</x:v>
      </x:c>
      <x:c r="J4" s="22" t="str">
        <x:v>净增量（元）</x:v>
      </x:c>
      <x:c r="K4" s="22" t="str">
        <x:v>单券节省（元）</x:v>
      </x:c>
      <x:c r="L4" s="22" t="str">
        <x:v>单券改善（bp）</x:v>
      </x:c>
    </x:row>
    <x:row r="5" ht="23" customHeight="1">
      <x:c r="A5" s="2" t="n">
        <x:v>0.1</x:v>
      </x:c>
      <x:c r="B5" s="10" t="n">
        <x:f>A5*100000000</x:f>
        <x:v>10000000</x:v>
      </x:c>
      <x:c r="C5" s="10" t="str">
        <x:v>隔夜1天</x:v>
      </x:c>
      <x:c r="D5" s="16" t="n">
        <x:v>1</x:v>
      </x:c>
      <x:c r="E5" s="17" t="n">
        <x:f>MIN(B5/1000000*'参数与结论'!$B$10,'参数与结论'!$B$12)</x:f>
        <x:v>5</x:v>
      </x:c>
      <x:c r="F5" s="17" t="n">
        <x:f>'参数与结论'!$B$24</x:f>
        <x:v>120</x:v>
      </x:c>
      <x:c r="G5" s="17" t="n">
        <x:f>E5+F5</x:f>
        <x:v>125</x:v>
      </x:c>
      <x:c r="H5" s="17" t="n">
        <x:f>G5/B5*'参数与结论'!$B$16/D5*10000</x:f>
        <x:v>45.62500000000001</x:v>
      </x:c>
      <x:c r="I5" s="18" t="n">
        <x:f>'参数与结论'!$B$7+H5/10000</x:f>
        <x:v>0.018062500000000002</x:v>
      </x:c>
      <x:c r="J5" s="17" t="n">
        <x:f>B5*('参数与结论'!$B$6-'参数与结论'!$B$7)*D5/'参数与结论'!$B$16-G5</x:f>
        <x:v>-111.30136986301369</x:v>
      </x:c>
      <x:c r="K5" s="17" t="n">
        <x:f>'参数与结论'!$B$30</x:f>
        <x:v>80</x:v>
      </x:c>
      <x:c r="L5" s="17" t="n">
        <x:f>K5/B5*'参数与结论'!$B$16/D5*10000</x:f>
        <x:v>29.2</x:v>
      </x:c>
    </x:row>
    <x:row r="6" ht="23" customHeight="1">
      <x:c r="A6" s="2" t="n">
        <x:v>0.1</x:v>
      </x:c>
      <x:c r="B6" s="10" t="n">
        <x:f>A6*100000000</x:f>
        <x:v>10000000</x:v>
      </x:c>
      <x:c r="C6" s="10" t="str">
        <x:v>隔夜3天</x:v>
      </x:c>
      <x:c r="D6" s="16" t="n">
        <x:v>3</x:v>
      </x:c>
      <x:c r="E6" s="17" t="n">
        <x:f>MIN(B6/1000000*'参数与结论'!$B$10,'参数与结论'!$B$12)</x:f>
        <x:v>5</x:v>
      </x:c>
      <x:c r="F6" s="17" t="n">
        <x:f>'参数与结论'!$B$24</x:f>
        <x:v>120</x:v>
      </x:c>
      <x:c r="G6" s="17" t="n">
        <x:f>E6+F6</x:f>
        <x:v>125</x:v>
      </x:c>
      <x:c r="H6" s="17" t="n">
        <x:f>G6/B6*'参数与结论'!$B$16/D6*10000</x:f>
        <x:v>15.208333333333334</x:v>
      </x:c>
      <x:c r="I6" s="18" t="n">
        <x:f>'参数与结论'!$B$7+H6/10000</x:f>
        <x:v>0.015020833333333334</x:v>
      </x:c>
      <x:c r="J6" s="17" t="n">
        <x:f>B6*('参数与结论'!$B$6-'参数与结论'!$B$7)*D6/'参数与结论'!$B$16-G6</x:f>
        <x:v>-83.90410958904106</x:v>
      </x:c>
      <x:c r="K6" s="17" t="n">
        <x:f>'参数与结论'!$B$30</x:f>
        <x:v>80</x:v>
      </x:c>
      <x:c r="L6" s="17" t="n">
        <x:f>K6/B6*'参数与结论'!$B$16/D6*10000</x:f>
        <x:v>9.733333333333333</x:v>
      </x:c>
    </x:row>
    <x:row r="7" ht="23" customHeight="1">
      <x:c r="A7" s="2" t="n">
        <x:v>0.1</x:v>
      </x:c>
      <x:c r="B7" s="10" t="n">
        <x:f>A7*100000000</x:f>
        <x:v>10000000</x:v>
      </x:c>
      <x:c r="C7" s="10" t="str">
        <x:v>7D</x:v>
      </x:c>
      <x:c r="D7" s="16" t="n">
        <x:v>7</x:v>
      </x:c>
      <x:c r="E7" s="17" t="n">
        <x:f>MIN(B7/1000000*'参数与结论'!$B$11,'参数与结论'!$B$12)</x:f>
        <x:v>15</x:v>
      </x:c>
      <x:c r="F7" s="17" t="n">
        <x:f>'参数与结论'!$B$24</x:f>
        <x:v>120</x:v>
      </x:c>
      <x:c r="G7" s="17" t="n">
        <x:f>E7+F7</x:f>
        <x:v>135</x:v>
      </x:c>
      <x:c r="H7" s="17" t="n">
        <x:f>G7/B7*'参数与结论'!$B$16/D7*10000</x:f>
        <x:v>7.039285714285714</x:v>
      </x:c>
      <x:c r="I7" s="18" t="n">
        <x:f>'参数与结论'!$B$7+H7/10000</x:f>
        <x:v>0.01420392857142857</x:v>
      </x:c>
      <x:c r="J7" s="17" t="n">
        <x:f>B7*('参数与结论'!$B$6-'参数与结论'!$B$7)*D7/'参数与结论'!$B$16-G7</x:f>
        <x:v>-39.109589041095816</x:v>
      </x:c>
      <x:c r="K7" s="17" t="n">
        <x:f>'参数与结论'!$B$30</x:f>
        <x:v>80</x:v>
      </x:c>
      <x:c r="L7" s="17" t="n">
        <x:f>K7/B7*'参数与结论'!$B$16/D7*10000</x:f>
        <x:v>4.171428571428572</x:v>
      </x:c>
    </x:row>
    <x:row r="8" ht="23" customHeight="1">
      <x:c r="A8" s="2" t="n">
        <x:v>0.1</x:v>
      </x:c>
      <x:c r="B8" s="10" t="n">
        <x:f>A8*100000000</x:f>
        <x:v>10000000</x:v>
      </x:c>
      <x:c r="C8" s="10" t="str">
        <x:v>14D</x:v>
      </x:c>
      <x:c r="D8" s="16" t="n">
        <x:v>14</x:v>
      </x:c>
      <x:c r="E8" s="17" t="n">
        <x:f>MIN(B8/1000000*'参数与结论'!$B$11,'参数与结论'!$B$12)</x:f>
        <x:v>15</x:v>
      </x:c>
      <x:c r="F8" s="17" t="n">
        <x:f>'参数与结论'!$B$24</x:f>
        <x:v>120</x:v>
      </x:c>
      <x:c r="G8" s="17" t="n">
        <x:f>E8+F8</x:f>
        <x:v>135</x:v>
      </x:c>
      <x:c r="H8" s="17" t="n">
        <x:f>G8/B8*'参数与结论'!$B$16/D8*10000</x:f>
        <x:v>3.519642857142857</x:v>
      </x:c>
      <x:c r="I8" s="18" t="n">
        <x:f>'参数与结论'!$B$7+H8/10000</x:f>
        <x:v>0.013851964285714285</x:v>
      </x:c>
      <x:c r="J8" s="17" t="n">
        <x:f>B8*('参数与结论'!$B$6-'参数与结论'!$B$7)*D8/'参数与结论'!$B$16-G8</x:f>
        <x:v>56.78082191780837</x:v>
      </x:c>
      <x:c r="K8" s="17" t="n">
        <x:f>'参数与结论'!$B$30</x:f>
        <x:v>80</x:v>
      </x:c>
      <x:c r="L8" s="17" t="n">
        <x:f>K8/B8*'参数与结论'!$B$16/D8*10000</x:f>
        <x:v>2.085714285714286</x:v>
      </x:c>
    </x:row>
    <x:row r="9" ht="23" customHeight="1">
      <x:c r="A9" s="2" t="n">
        <x:v>0.1</x:v>
      </x:c>
      <x:c r="B9" s="10" t="n">
        <x:f>A9*100000000</x:f>
        <x:v>10000000</x:v>
      </x:c>
      <x:c r="C9" s="10" t="str">
        <x:v>21D</x:v>
      </x:c>
      <x:c r="D9" s="16" t="n">
        <x:v>21</x:v>
      </x:c>
      <x:c r="E9" s="17" t="n">
        <x:f>MIN(B9/1000000*'参数与结论'!$B$11,'参数与结论'!$B$12)</x:f>
        <x:v>15</x:v>
      </x:c>
      <x:c r="F9" s="17" t="n">
        <x:f>'参数与结论'!$B$24</x:f>
        <x:v>120</x:v>
      </x:c>
      <x:c r="G9" s="17" t="n">
        <x:f>E9+F9</x:f>
        <x:v>135</x:v>
      </x:c>
      <x:c r="H9" s="17" t="n">
        <x:f>G9/B9*'参数与结论'!$B$16/D9*10000</x:f>
        <x:v>2.346428571428571</x:v>
      </x:c>
      <x:c r="I9" s="18" t="n">
        <x:f>'参数与结论'!$B$7+H9/10000</x:f>
        <x:v>0.013734642857142857</x:v>
      </x:c>
      <x:c r="J9" s="17" t="n">
        <x:f>B9*('参数与结论'!$B$6-'参数与结论'!$B$7)*D9/'参数与结论'!$B$16-G9</x:f>
        <x:v>152.67123287671262</x:v>
      </x:c>
      <x:c r="K9" s="17" t="n">
        <x:f>'参数与结论'!$B$30</x:f>
        <x:v>80</x:v>
      </x:c>
      <x:c r="L9" s="17" t="n">
        <x:f>K9/B9*'参数与结论'!$B$16/D9*10000</x:f>
        <x:v>1.3904761904761904</x:v>
      </x:c>
    </x:row>
    <x:row r="10" ht="23" customHeight="1">
      <x:c r="A10" s="2" t="n">
        <x:v>0.1</x:v>
      </x:c>
      <x:c r="B10" s="10" t="n">
        <x:f>A10*100000000</x:f>
        <x:v>10000000</x:v>
      </x:c>
      <x:c r="C10" s="10" t="str">
        <x:v>28D</x:v>
      </x:c>
      <x:c r="D10" s="16" t="n">
        <x:v>28</x:v>
      </x:c>
      <x:c r="E10" s="17" t="n">
        <x:f>MIN(B10/1000000*'参数与结论'!$B$11,'参数与结论'!$B$12)</x:f>
        <x:v>15</x:v>
      </x:c>
      <x:c r="F10" s="17" t="n">
        <x:f>'参数与结论'!$B$24</x:f>
        <x:v>120</x:v>
      </x:c>
      <x:c r="G10" s="17" t="n">
        <x:f>E10+F10</x:f>
        <x:v>135</x:v>
      </x:c>
      <x:c r="H10" s="17" t="n">
        <x:f>G10/B10*'参数与结论'!$B$16/D10*10000</x:f>
        <x:v>1.7598214285714284</x:v>
      </x:c>
      <x:c r="I10" s="18" t="n">
        <x:f>'参数与结论'!$B$7+H10/10000</x:f>
        <x:v>0.013675982142857143</x:v>
      </x:c>
      <x:c r="J10" s="17" t="n">
        <x:f>B10*('参数与结论'!$B$6-'参数与结论'!$B$7)*D10/'参数与结论'!$B$16-G10</x:f>
        <x:v>248.56164383561674</x:v>
      </x:c>
      <x:c r="K10" s="17" t="n">
        <x:f>'参数与结论'!$B$30</x:f>
        <x:v>80</x:v>
      </x:c>
      <x:c r="L10" s="17" t="n">
        <x:f>K10/B10*'参数与结论'!$B$16/D10*10000</x:f>
        <x:v>1.042857142857143</x:v>
      </x:c>
    </x:row>
    <x:row r="11" ht="23" customHeight="1">
      <x:c r="A11" s="2" t="n">
        <x:v>0.2</x:v>
      </x:c>
      <x:c r="B11" s="10" t="n">
        <x:f>A11*100000000</x:f>
        <x:v>20000000</x:v>
      </x:c>
      <x:c r="C11" s="10" t="str">
        <x:v>隔夜1天</x:v>
      </x:c>
      <x:c r="D11" s="16" t="n">
        <x:v>1</x:v>
      </x:c>
      <x:c r="E11" s="17" t="n">
        <x:f>MIN(B11/1000000*'参数与结论'!$B$10,'参数与结论'!$B$12)</x:f>
        <x:v>10</x:v>
      </x:c>
      <x:c r="F11" s="17" t="n">
        <x:f>'参数与结论'!$B$24</x:f>
        <x:v>120</x:v>
      </x:c>
      <x:c r="G11" s="17" t="n">
        <x:f>E11+F11</x:f>
        <x:v>130</x:v>
      </x:c>
      <x:c r="H11" s="17" t="n">
        <x:f>G11/B11*'参数与结论'!$B$16/D11*10000</x:f>
        <x:v>23.725</x:v>
      </x:c>
      <x:c r="I11" s="18" t="n">
        <x:f>'参数与结论'!$B$7+H11/10000</x:f>
        <x:v>0.0158725</x:v>
      </x:c>
      <x:c r="J11" s="17" t="n">
        <x:f>B11*('参数与结论'!$B$6-'参数与结论'!$B$7)*D11/'参数与结论'!$B$16-G11</x:f>
        <x:v>-102.60273972602738</x:v>
      </x:c>
      <x:c r="K11" s="17" t="n">
        <x:f>'参数与结论'!$B$30</x:f>
        <x:v>80</x:v>
      </x:c>
      <x:c r="L11" s="17" t="n">
        <x:f>K11/B11*'参数与结论'!$B$16/D11*10000</x:f>
        <x:v>14.6</x:v>
      </x:c>
    </x:row>
    <x:row r="12" ht="23" customHeight="1">
      <x:c r="A12" s="2" t="n">
        <x:v>0.2</x:v>
      </x:c>
      <x:c r="B12" s="10" t="n">
        <x:f>A12*100000000</x:f>
        <x:v>20000000</x:v>
      </x:c>
      <x:c r="C12" s="10" t="str">
        <x:v>隔夜3天</x:v>
      </x:c>
      <x:c r="D12" s="16" t="n">
        <x:v>3</x:v>
      </x:c>
      <x:c r="E12" s="17" t="n">
        <x:f>MIN(B12/1000000*'参数与结论'!$B$10,'参数与结论'!$B$12)</x:f>
        <x:v>10</x:v>
      </x:c>
      <x:c r="F12" s="17" t="n">
        <x:f>'参数与结论'!$B$24</x:f>
        <x:v>120</x:v>
      </x:c>
      <x:c r="G12" s="17" t="n">
        <x:f>E12+F12</x:f>
        <x:v>130</x:v>
      </x:c>
      <x:c r="H12" s="17" t="n">
        <x:f>G12/B12*'参数与结论'!$B$16/D12*10000</x:f>
        <x:v>7.908333333333334</x:v>
      </x:c>
      <x:c r="I12" s="18" t="n">
        <x:f>'参数与结论'!$B$7+H12/10000</x:f>
        <x:v>0.014290833333333332</x:v>
      </x:c>
      <x:c r="J12" s="17" t="n">
        <x:f>B12*('参数与结论'!$B$6-'参数与结论'!$B$7)*D12/'参数与结论'!$B$16-G12</x:f>
        <x:v>-47.80821917808211</x:v>
      </x:c>
      <x:c r="K12" s="17" t="n">
        <x:f>'参数与结论'!$B$30</x:f>
        <x:v>80</x:v>
      </x:c>
      <x:c r="L12" s="17" t="n">
        <x:f>K12/B12*'参数与结论'!$B$16/D12*10000</x:f>
        <x:v>4.866666666666666</x:v>
      </x:c>
    </x:row>
    <x:row r="13" ht="23" customHeight="1">
      <x:c r="A13" s="2" t="n">
        <x:v>0.2</x:v>
      </x:c>
      <x:c r="B13" s="10" t="n">
        <x:f>A13*100000000</x:f>
        <x:v>20000000</x:v>
      </x:c>
      <x:c r="C13" s="10" t="str">
        <x:v>7D</x:v>
      </x:c>
      <x:c r="D13" s="16" t="n">
        <x:v>7</x:v>
      </x:c>
      <x:c r="E13" s="17" t="n">
        <x:f>MIN(B13/1000000*'参数与结论'!$B$11,'参数与结论'!$B$12)</x:f>
        <x:v>30</x:v>
      </x:c>
      <x:c r="F13" s="17" t="n">
        <x:f>'参数与结论'!$B$24</x:f>
        <x:v>120</x:v>
      </x:c>
      <x:c r="G13" s="17" t="n">
        <x:f>E13+F13</x:f>
        <x:v>150</x:v>
      </x:c>
      <x:c r="H13" s="17" t="n">
        <x:f>G13/B13*'参数与结论'!$B$16/D13*10000</x:f>
        <x:v>3.9107142857142856</x:v>
      </x:c>
      <x:c r="I13" s="18" t="n">
        <x:f>'参数与结论'!$B$7+H13/10000</x:f>
        <x:v>0.013891071428571428</x:v>
      </x:c>
      <x:c r="J13" s="17" t="n">
        <x:f>B13*('参数与结论'!$B$6-'参数与结论'!$B$7)*D13/'参数与结论'!$B$16-G13</x:f>
        <x:v>41.78082191780837</x:v>
      </x:c>
      <x:c r="K13" s="17" t="n">
        <x:f>'参数与结论'!$B$30</x:f>
        <x:v>80</x:v>
      </x:c>
      <x:c r="L13" s="17" t="n">
        <x:f>K13/B13*'参数与结论'!$B$16/D13*10000</x:f>
        <x:v>2.085714285714286</x:v>
      </x:c>
    </x:row>
    <x:row r="14" ht="23" customHeight="1">
      <x:c r="A14" s="2" t="n">
        <x:v>0.2</x:v>
      </x:c>
      <x:c r="B14" s="10" t="n">
        <x:f>A14*100000000</x:f>
        <x:v>20000000</x:v>
      </x:c>
      <x:c r="C14" s="10" t="str">
        <x:v>14D</x:v>
      </x:c>
      <x:c r="D14" s="16" t="n">
        <x:v>14</x:v>
      </x:c>
      <x:c r="E14" s="17" t="n">
        <x:f>MIN(B14/1000000*'参数与结论'!$B$11,'参数与结论'!$B$12)</x:f>
        <x:v>30</x:v>
      </x:c>
      <x:c r="F14" s="17" t="n">
        <x:f>'参数与结论'!$B$24</x:f>
        <x:v>120</x:v>
      </x:c>
      <x:c r="G14" s="17" t="n">
        <x:f>E14+F14</x:f>
        <x:v>150</x:v>
      </x:c>
      <x:c r="H14" s="17" t="n">
        <x:f>G14/B14*'参数与结论'!$B$16/D14*10000</x:f>
        <x:v>1.9553571428571428</x:v>
      </x:c>
      <x:c r="I14" s="18" t="n">
        <x:f>'参数与结论'!$B$7+H14/10000</x:f>
        <x:v>0.013695535714285714</x:v>
      </x:c>
      <x:c r="J14" s="17" t="n">
        <x:f>B14*('参数与结论'!$B$6-'参数与结论'!$B$7)*D14/'参数与结论'!$B$16-G14</x:f>
        <x:v>233.56164383561674</x:v>
      </x:c>
      <x:c r="K14" s="17" t="n">
        <x:f>'参数与结论'!$B$30</x:f>
        <x:v>80</x:v>
      </x:c>
      <x:c r="L14" s="17" t="n">
        <x:f>K14/B14*'参数与结论'!$B$16/D14*10000</x:f>
        <x:v>1.042857142857143</x:v>
      </x:c>
    </x:row>
    <x:row r="15" ht="23" customHeight="1">
      <x:c r="A15" s="2" t="n">
        <x:v>0.2</x:v>
      </x:c>
      <x:c r="B15" s="10" t="n">
        <x:f>A15*100000000</x:f>
        <x:v>20000000</x:v>
      </x:c>
      <x:c r="C15" s="10" t="str">
        <x:v>21D</x:v>
      </x:c>
      <x:c r="D15" s="16" t="n">
        <x:v>21</x:v>
      </x:c>
      <x:c r="E15" s="17" t="n">
        <x:f>MIN(B15/1000000*'参数与结论'!$B$11,'参数与结论'!$B$12)</x:f>
        <x:v>30</x:v>
      </x:c>
      <x:c r="F15" s="17" t="n">
        <x:f>'参数与结论'!$B$24</x:f>
        <x:v>120</x:v>
      </x:c>
      <x:c r="G15" s="17" t="n">
        <x:f>E15+F15</x:f>
        <x:v>150</x:v>
      </x:c>
      <x:c r="H15" s="17" t="n">
        <x:f>G15/B15*'参数与结论'!$B$16/D15*10000</x:f>
        <x:v>1.3035714285714286</x:v>
      </x:c>
      <x:c r="I15" s="18" t="n">
        <x:f>'参数与结论'!$B$7+H15/10000</x:f>
        <x:v>0.013630357142857142</x:v>
      </x:c>
      <x:c r="J15" s="17" t="n">
        <x:f>B15*('参数与结论'!$B$6-'参数与结论'!$B$7)*D15/'参数与结论'!$B$16-G15</x:f>
        <x:v>425.34246575342524</x:v>
      </x:c>
      <x:c r="K15" s="17" t="n">
        <x:f>'参数与结论'!$B$30</x:f>
        <x:v>80</x:v>
      </x:c>
      <x:c r="L15" s="17" t="n">
        <x:f>K15/B15*'参数与结论'!$B$16/D15*10000</x:f>
        <x:v>0.6952380952380952</x:v>
      </x:c>
    </x:row>
    <x:row r="16" ht="23" customHeight="1">
      <x:c r="A16" s="2" t="n">
        <x:v>0.2</x:v>
      </x:c>
      <x:c r="B16" s="10" t="n">
        <x:f>A16*100000000</x:f>
        <x:v>20000000</x:v>
      </x:c>
      <x:c r="C16" s="10" t="str">
        <x:v>28D</x:v>
      </x:c>
      <x:c r="D16" s="16" t="n">
        <x:v>28</x:v>
      </x:c>
      <x:c r="E16" s="17" t="n">
        <x:f>MIN(B16/1000000*'参数与结论'!$B$11,'参数与结论'!$B$12)</x:f>
        <x:v>30</x:v>
      </x:c>
      <x:c r="F16" s="17" t="n">
        <x:f>'参数与结论'!$B$24</x:f>
        <x:v>120</x:v>
      </x:c>
      <x:c r="G16" s="17" t="n">
        <x:f>E16+F16</x:f>
        <x:v>150</x:v>
      </x:c>
      <x:c r="H16" s="17" t="n">
        <x:f>G16/B16*'参数与结论'!$B$16/D16*10000</x:f>
        <x:v>0.9776785714285714</x:v>
      </x:c>
      <x:c r="I16" s="18" t="n">
        <x:f>'参数与结论'!$B$7+H16/10000</x:f>
        <x:v>0.013597767857142857</x:v>
      </x:c>
      <x:c r="J16" s="17" t="n">
        <x:f>B16*('参数与结论'!$B$6-'参数与结论'!$B$7)*D16/'参数与结论'!$B$16-G16</x:f>
        <x:v>617.1232876712335</x:v>
      </x:c>
      <x:c r="K16" s="17" t="n">
        <x:f>'参数与结论'!$B$30</x:f>
        <x:v>80</x:v>
      </x:c>
      <x:c r="L16" s="17" t="n">
        <x:f>K16/B16*'参数与结论'!$B$16/D16*10000</x:f>
        <x:v>0.5214285714285715</x:v>
      </x:c>
    </x:row>
    <x:row r="17" ht="23" customHeight="1">
      <x:c r="A17" s="2" t="n">
        <x:v>0.3</x:v>
      </x:c>
      <x:c r="B17" s="10" t="n">
        <x:f>A17*100000000</x:f>
        <x:v>30000000</x:v>
      </x:c>
      <x:c r="C17" s="10" t="str">
        <x:v>隔夜1天</x:v>
      </x:c>
      <x:c r="D17" s="16" t="n">
        <x:v>1</x:v>
      </x:c>
      <x:c r="E17" s="17" t="n">
        <x:f>MIN(B17/1000000*'参数与结论'!$B$10,'参数与结论'!$B$12)</x:f>
        <x:v>15</x:v>
      </x:c>
      <x:c r="F17" s="17" t="n">
        <x:f>'参数与结论'!$B$24</x:f>
        <x:v>120</x:v>
      </x:c>
      <x:c r="G17" s="17" t="n">
        <x:f>E17+F17</x:f>
        <x:v>135</x:v>
      </x:c>
      <x:c r="H17" s="17" t="n">
        <x:f>G17/B17*'参数与结论'!$B$16/D17*10000</x:f>
        <x:v>16.425</x:v>
      </x:c>
      <x:c r="I17" s="18" t="n">
        <x:f>'参数与结论'!$B$7+H17/10000</x:f>
        <x:v>0.0151425</x:v>
      </x:c>
      <x:c r="J17" s="17" t="n">
        <x:f>B17*('参数与结论'!$B$6-'参数与结论'!$B$7)*D17/'参数与结论'!$B$16-G17</x:f>
        <x:v>-93.90410958904107</x:v>
      </x:c>
      <x:c r="K17" s="17" t="n">
        <x:f>'参数与结论'!$B$30</x:f>
        <x:v>80</x:v>
      </x:c>
      <x:c r="L17" s="17" t="n">
        <x:f>K17/B17*'参数与结论'!$B$16/D17*10000</x:f>
        <x:v>9.733333333333334</x:v>
      </x:c>
    </x:row>
    <x:row r="18" ht="23" customHeight="1">
      <x:c r="A18" s="2" t="n">
        <x:v>0.3</x:v>
      </x:c>
      <x:c r="B18" s="10" t="n">
        <x:f>A18*100000000</x:f>
        <x:v>30000000</x:v>
      </x:c>
      <x:c r="C18" s="10" t="str">
        <x:v>隔夜3天</x:v>
      </x:c>
      <x:c r="D18" s="16" t="n">
        <x:v>3</x:v>
      </x:c>
      <x:c r="E18" s="17" t="n">
        <x:f>MIN(B18/1000000*'参数与结论'!$B$10,'参数与结论'!$B$12)</x:f>
        <x:v>15</x:v>
      </x:c>
      <x:c r="F18" s="17" t="n">
        <x:f>'参数与结论'!$B$24</x:f>
        <x:v>120</x:v>
      </x:c>
      <x:c r="G18" s="17" t="n">
        <x:f>E18+F18</x:f>
        <x:v>135</x:v>
      </x:c>
      <x:c r="H18" s="17" t="n">
        <x:f>G18/B18*'参数与结论'!$B$16/D18*10000</x:f>
        <x:v>5.4750000000000005</x:v>
      </x:c>
      <x:c r="I18" s="18" t="n">
        <x:f>'参数与结论'!$B$7+H18/10000</x:f>
        <x:v>0.0140475</x:v>
      </x:c>
      <x:c r="J18" s="17" t="n">
        <x:f>B18*('参数与结论'!$B$6-'参数与结论'!$B$7)*D18/'参数与结论'!$B$16-G18</x:f>
        <x:v>-11.712328767123182</x:v>
      </x:c>
      <x:c r="K18" s="17" t="n">
        <x:f>'参数与结论'!$B$30</x:f>
        <x:v>80</x:v>
      </x:c>
      <x:c r="L18" s="17" t="n">
        <x:f>K18/B18*'参数与结论'!$B$16/D18*10000</x:f>
        <x:v>3.244444444444445</x:v>
      </x:c>
    </x:row>
    <x:row r="19" ht="23" customHeight="1">
      <x:c r="A19" s="2" t="n">
        <x:v>0.3</x:v>
      </x:c>
      <x:c r="B19" s="10" t="n">
        <x:f>A19*100000000</x:f>
        <x:v>30000000</x:v>
      </x:c>
      <x:c r="C19" s="10" t="str">
        <x:v>7D</x:v>
      </x:c>
      <x:c r="D19" s="16" t="n">
        <x:v>7</x:v>
      </x:c>
      <x:c r="E19" s="17" t="n">
        <x:f>MIN(B19/1000000*'参数与结论'!$B$11,'参数与结论'!$B$12)</x:f>
        <x:v>45</x:v>
      </x:c>
      <x:c r="F19" s="17" t="n">
        <x:f>'参数与结论'!$B$24</x:f>
        <x:v>120</x:v>
      </x:c>
      <x:c r="G19" s="17" t="n">
        <x:f>E19+F19</x:f>
        <x:v>165</x:v>
      </x:c>
      <x:c r="H19" s="17" t="n">
        <x:f>G19/B19*'参数与结论'!$B$16/D19*10000</x:f>
        <x:v>2.8678571428571424</x:v>
      </x:c>
      <x:c r="I19" s="18" t="n">
        <x:f>'参数与结论'!$B$7+H19/10000</x:f>
        <x:v>0.013786785714285713</x:v>
      </x:c>
      <x:c r="J19" s="17" t="n">
        <x:f>B19*('参数与结论'!$B$6-'参数与结论'!$B$7)*D19/'参数与结论'!$B$16-G19</x:f>
        <x:v>122.67123287671257</x:v>
      </x:c>
      <x:c r="K19" s="17" t="n">
        <x:f>'参数与结论'!$B$30</x:f>
        <x:v>80</x:v>
      </x:c>
      <x:c r="L19" s="17" t="n">
        <x:f>K19/B19*'参数与结论'!$B$16/D19*10000</x:f>
        <x:v>1.3904761904761906</x:v>
      </x:c>
    </x:row>
    <x:row r="20" ht="23" customHeight="1">
      <x:c r="A20" s="2" t="n">
        <x:v>0.3</x:v>
      </x:c>
      <x:c r="B20" s="10" t="n">
        <x:f>A20*100000000</x:f>
        <x:v>30000000</x:v>
      </x:c>
      <x:c r="C20" s="10" t="str">
        <x:v>14D</x:v>
      </x:c>
      <x:c r="D20" s="16" t="n">
        <x:v>14</x:v>
      </x:c>
      <x:c r="E20" s="17" t="n">
        <x:f>MIN(B20/1000000*'参数与结论'!$B$11,'参数与结论'!$B$12)</x:f>
        <x:v>45</x:v>
      </x:c>
      <x:c r="F20" s="17" t="n">
        <x:f>'参数与结论'!$B$24</x:f>
        <x:v>120</x:v>
      </x:c>
      <x:c r="G20" s="17" t="n">
        <x:f>E20+F20</x:f>
        <x:v>165</x:v>
      </x:c>
      <x:c r="H20" s="17" t="n">
        <x:f>G20/B20*'参数与结论'!$B$16/D20*10000</x:f>
        <x:v>1.4339285714285712</x:v>
      </x:c>
      <x:c r="I20" s="18" t="n">
        <x:f>'参数与结论'!$B$7+H20/10000</x:f>
        <x:v>0.013643392857142857</x:v>
      </x:c>
      <x:c r="J20" s="17" t="n">
        <x:f>B20*('参数与结论'!$B$6-'参数与结论'!$B$7)*D20/'参数与结论'!$B$16-G20</x:f>
        <x:v>410.34246575342513</x:v>
      </x:c>
      <x:c r="K20" s="17" t="n">
        <x:f>'参数与结论'!$B$30</x:f>
        <x:v>80</x:v>
      </x:c>
      <x:c r="L20" s="17" t="n">
        <x:f>K20/B20*'参数与结论'!$B$16/D20*10000</x:f>
        <x:v>0.6952380952380953</x:v>
      </x:c>
    </x:row>
    <x:row r="21" ht="23" customHeight="1">
      <x:c r="A21" s="2" t="n">
        <x:v>0.3</x:v>
      </x:c>
      <x:c r="B21" s="10" t="n">
        <x:f>A21*100000000</x:f>
        <x:v>30000000</x:v>
      </x:c>
      <x:c r="C21" s="10" t="str">
        <x:v>21D</x:v>
      </x:c>
      <x:c r="D21" s="16" t="n">
        <x:v>21</x:v>
      </x:c>
      <x:c r="E21" s="17" t="n">
        <x:f>MIN(B21/1000000*'参数与结论'!$B$11,'参数与结论'!$B$12)</x:f>
        <x:v>45</x:v>
      </x:c>
      <x:c r="F21" s="17" t="n">
        <x:f>'参数与结论'!$B$24</x:f>
        <x:v>120</x:v>
      </x:c>
      <x:c r="G21" s="17" t="n">
        <x:f>E21+F21</x:f>
        <x:v>165</x:v>
      </x:c>
      <x:c r="H21" s="17" t="n">
        <x:f>G21/B21*'参数与结论'!$B$16/D21*10000</x:f>
        <x:v>0.9559523809523809</x:v>
      </x:c>
      <x:c r="I21" s="18" t="n">
        <x:f>'参数与结论'!$B$7+H21/10000</x:f>
        <x:v>0.013595595238095238</x:v>
      </x:c>
      <x:c r="J21" s="17" t="n">
        <x:f>B21*('参数与结论'!$B$6-'参数与结论'!$B$7)*D21/'参数与结论'!$B$16-G21</x:f>
        <x:v>698.0136986301378</x:v>
      </x:c>
      <x:c r="K21" s="17" t="n">
        <x:f>'参数与结论'!$B$30</x:f>
        <x:v>80</x:v>
      </x:c>
      <x:c r="L21" s="17" t="n">
        <x:f>K21/B21*'参数与结论'!$B$16/D21*10000</x:f>
        <x:v>0.4634920634920635</x:v>
      </x:c>
    </x:row>
    <x:row r="22" ht="23" customHeight="1">
      <x:c r="A22" s="2" t="n">
        <x:v>0.3</x:v>
      </x:c>
      <x:c r="B22" s="10" t="n">
        <x:f>A22*100000000</x:f>
        <x:v>30000000</x:v>
      </x:c>
      <x:c r="C22" s="10" t="str">
        <x:v>28D</x:v>
      </x:c>
      <x:c r="D22" s="16" t="n">
        <x:v>28</x:v>
      </x:c>
      <x:c r="E22" s="17" t="n">
        <x:f>MIN(B22/1000000*'参数与结论'!$B$11,'参数与结论'!$B$12)</x:f>
        <x:v>45</x:v>
      </x:c>
      <x:c r="F22" s="17" t="n">
        <x:f>'参数与结论'!$B$24</x:f>
        <x:v>120</x:v>
      </x:c>
      <x:c r="G22" s="17" t="n">
        <x:f>E22+F22</x:f>
        <x:v>165</x:v>
      </x:c>
      <x:c r="H22" s="17" t="n">
        <x:f>G22/B22*'参数与结论'!$B$16/D22*10000</x:f>
        <x:v>0.7169642857142856</x:v>
      </x:c>
      <x:c r="I22" s="18" t="n">
        <x:f>'参数与结论'!$B$7+H22/10000</x:f>
        <x:v>0.013571696428571428</x:v>
      </x:c>
      <x:c r="J22" s="17" t="n">
        <x:f>B22*('参数与结论'!$B$6-'参数与结论'!$B$7)*D22/'参数与结论'!$B$16-G22</x:f>
        <x:v>985.6849315068503</x:v>
      </x:c>
      <x:c r="K22" s="17" t="n">
        <x:f>'参数与结论'!$B$30</x:f>
        <x:v>80</x:v>
      </x:c>
      <x:c r="L22" s="17" t="n">
        <x:f>K22/B22*'参数与结论'!$B$16/D22*10000</x:f>
        <x:v>0.34761904761904766</x:v>
      </x:c>
    </x:row>
    <x:row r="23" ht="23" customHeight="1">
      <x:c r="A23" s="2" t="n">
        <x:v>0.5</x:v>
      </x:c>
      <x:c r="B23" s="10" t="n">
        <x:f>A23*100000000</x:f>
        <x:v>50000000</x:v>
      </x:c>
      <x:c r="C23" s="10" t="str">
        <x:v>隔夜1天</x:v>
      </x:c>
      <x:c r="D23" s="16" t="n">
        <x:v>1</x:v>
      </x:c>
      <x:c r="E23" s="17" t="n">
        <x:f>MIN(B23/1000000*'参数与结论'!$B$10,'参数与结论'!$B$12)</x:f>
        <x:v>25</x:v>
      </x:c>
      <x:c r="F23" s="17" t="n">
        <x:f>'参数与结论'!$B$24</x:f>
        <x:v>120</x:v>
      </x:c>
      <x:c r="G23" s="17" t="n">
        <x:f>E23+F23</x:f>
        <x:v>145</x:v>
      </x:c>
      <x:c r="H23" s="17" t="n">
        <x:f>G23/B23*'参数与结论'!$B$16/D23*10000</x:f>
        <x:v>10.584999999999999</x:v>
      </x:c>
      <x:c r="I23" s="18" t="n">
        <x:f>'参数与结论'!$B$7+H23/10000</x:f>
        <x:v>0.0145585</x:v>
      </x:c>
      <x:c r="J23" s="17" t="n">
        <x:f>B23*('参数与结论'!$B$6-'参数与结论'!$B$7)*D23/'参数与结论'!$B$16-G23</x:f>
        <x:v>-76.50684931506844</x:v>
      </x:c>
      <x:c r="K23" s="17" t="n">
        <x:f>'参数与结论'!$B$30</x:f>
        <x:v>80</x:v>
      </x:c>
      <x:c r="L23" s="17" t="n">
        <x:f>K23/B23*'参数与结论'!$B$16/D23*10000</x:f>
        <x:v>5.84</x:v>
      </x:c>
    </x:row>
    <x:row r="24" ht="23" customHeight="1">
      <x:c r="A24" s="2" t="n">
        <x:v>0.5</x:v>
      </x:c>
      <x:c r="B24" s="10" t="n">
        <x:f>A24*100000000</x:f>
        <x:v>50000000</x:v>
      </x:c>
      <x:c r="C24" s="10" t="str">
        <x:v>隔夜3天</x:v>
      </x:c>
      <x:c r="D24" s="16" t="n">
        <x:v>3</x:v>
      </x:c>
      <x:c r="E24" s="17" t="n">
        <x:f>MIN(B24/1000000*'参数与结论'!$B$10,'参数与结论'!$B$12)</x:f>
        <x:v>25</x:v>
      </x:c>
      <x:c r="F24" s="17" t="n">
        <x:f>'参数与结论'!$B$24</x:f>
        <x:v>120</x:v>
      </x:c>
      <x:c r="G24" s="17" t="n">
        <x:f>E24+F24</x:f>
        <x:v>145</x:v>
      </x:c>
      <x:c r="H24" s="17" t="n">
        <x:f>G24/B24*'参数与结论'!$B$16/D24*10000</x:f>
        <x:v>3.528333333333333</x:v>
      </x:c>
      <x:c r="I24" s="18" t="n">
        <x:f>'参数与结论'!$B$7+H24/10000</x:f>
        <x:v>0.013852833333333333</x:v>
      </x:c>
      <x:c r="J24" s="17" t="n">
        <x:f>B24*('参数与结论'!$B$6-'参数与结论'!$B$7)*D24/'参数与结论'!$B$16-G24</x:f>
        <x:v>60.47945205479468</x:v>
      </x:c>
      <x:c r="K24" s="17" t="n">
        <x:f>'参数与结论'!$B$30</x:f>
        <x:v>80</x:v>
      </x:c>
      <x:c r="L24" s="17" t="n">
        <x:f>K24/B24*'参数与结论'!$B$16/D24*10000</x:f>
        <x:v>1.9466666666666665</x:v>
      </x:c>
    </x:row>
    <x:row r="25" ht="23" customHeight="1">
      <x:c r="A25" s="2" t="n">
        <x:v>0.5</x:v>
      </x:c>
      <x:c r="B25" s="10" t="n">
        <x:f>A25*100000000</x:f>
        <x:v>50000000</x:v>
      </x:c>
      <x:c r="C25" s="10" t="str">
        <x:v>7D</x:v>
      </x:c>
      <x:c r="D25" s="16" t="n">
        <x:v>7</x:v>
      </x:c>
      <x:c r="E25" s="17" t="n">
        <x:f>MIN(B25/1000000*'参数与结论'!$B$11,'参数与结论'!$B$12)</x:f>
        <x:v>75</x:v>
      </x:c>
      <x:c r="F25" s="17" t="n">
        <x:f>'参数与结论'!$B$24</x:f>
        <x:v>120</x:v>
      </x:c>
      <x:c r="G25" s="17" t="n">
        <x:f>E25+F25</x:f>
        <x:v>195</x:v>
      </x:c>
      <x:c r="H25" s="17" t="n">
        <x:f>G25/B25*'参数与结论'!$B$16/D25*10000</x:f>
        <x:v>2.033571428571429</x:v>
      </x:c>
      <x:c r="I25" s="18" t="n">
        <x:f>'参数与结论'!$B$7+H25/10000</x:f>
        <x:v>0.013703357142857142</x:v>
      </x:c>
      <x:c r="J25" s="17" t="n">
        <x:f>B25*('参数与结论'!$B$6-'参数与结论'!$B$7)*D25/'参数与结论'!$B$16-G25</x:f>
        <x:v>284.45205479452096</x:v>
      </x:c>
      <x:c r="K25" s="17" t="n">
        <x:f>'参数与结论'!$B$30</x:f>
        <x:v>80</x:v>
      </x:c>
      <x:c r="L25" s="17" t="n">
        <x:f>K25/B25*'参数与结论'!$B$16/D25*10000</x:f>
        <x:v>0.8342857142857143</x:v>
      </x:c>
    </x:row>
    <x:row r="26" ht="23" customHeight="1">
      <x:c r="A26" s="2" t="n">
        <x:v>0.5</x:v>
      </x:c>
      <x:c r="B26" s="10" t="n">
        <x:f>A26*100000000</x:f>
        <x:v>50000000</x:v>
      </x:c>
      <x:c r="C26" s="10" t="str">
        <x:v>14D</x:v>
      </x:c>
      <x:c r="D26" s="16" t="n">
        <x:v>14</x:v>
      </x:c>
      <x:c r="E26" s="17" t="n">
        <x:f>MIN(B26/1000000*'参数与结论'!$B$11,'参数与结论'!$B$12)</x:f>
        <x:v>75</x:v>
      </x:c>
      <x:c r="F26" s="17" t="n">
        <x:f>'参数与结论'!$B$24</x:f>
        <x:v>120</x:v>
      </x:c>
      <x:c r="G26" s="17" t="n">
        <x:f>E26+F26</x:f>
        <x:v>195</x:v>
      </x:c>
      <x:c r="H26" s="17" t="n">
        <x:f>G26/B26*'参数与结论'!$B$16/D26*10000</x:f>
        <x:v>1.0167857142857144</x:v>
      </x:c>
      <x:c r="I26" s="18" t="n">
        <x:f>'参数与结论'!$B$7+H26/10000</x:f>
        <x:v>0.013601678571428572</x:v>
      </x:c>
      <x:c r="J26" s="17" t="n">
        <x:f>B26*('参数与结论'!$B$6-'参数与结论'!$B$7)*D26/'参数与结论'!$B$16-G26</x:f>
        <x:v>763.9041095890419</x:v>
      </x:c>
      <x:c r="K26" s="17" t="n">
        <x:f>'参数与结论'!$B$30</x:f>
        <x:v>80</x:v>
      </x:c>
      <x:c r="L26" s="17" t="n">
        <x:f>K26/B26*'参数与结论'!$B$16/D26*10000</x:f>
        <x:v>0.41714285714285715</x:v>
      </x:c>
    </x:row>
    <x:row r="27" ht="23" customHeight="1">
      <x:c r="A27" s="2" t="n">
        <x:v>0.5</x:v>
      </x:c>
      <x:c r="B27" s="10" t="n">
        <x:f>A27*100000000</x:f>
        <x:v>50000000</x:v>
      </x:c>
      <x:c r="C27" s="10" t="str">
        <x:v>21D</x:v>
      </x:c>
      <x:c r="D27" s="16" t="n">
        <x:v>21</x:v>
      </x:c>
      <x:c r="E27" s="17" t="n">
        <x:f>MIN(B27/1000000*'参数与结论'!$B$11,'参数与结论'!$B$12)</x:f>
        <x:v>75</x:v>
      </x:c>
      <x:c r="F27" s="17" t="n">
        <x:f>'参数与结论'!$B$24</x:f>
        <x:v>120</x:v>
      </x:c>
      <x:c r="G27" s="17" t="n">
        <x:f>E27+F27</x:f>
        <x:v>195</x:v>
      </x:c>
      <x:c r="H27" s="17" t="n">
        <x:f>G27/B27*'参数与结论'!$B$16/D27*10000</x:f>
        <x:v>0.6778571428571429</x:v>
      </x:c>
      <x:c r="I27" s="18" t="n">
        <x:f>'参数与结论'!$B$7+H27/10000</x:f>
        <x:v>0.013567785714285715</x:v>
      </x:c>
      <x:c r="J27" s="17" t="n">
        <x:f>B27*('参数与结论'!$B$6-'参数与结论'!$B$7)*D27/'参数与结论'!$B$16-G27</x:f>
        <x:v>1243.3561643835628</x:v>
      </x:c>
      <x:c r="K27" s="17" t="n">
        <x:f>'参数与结论'!$B$30</x:f>
        <x:v>80</x:v>
      </x:c>
      <x:c r="L27" s="17" t="n">
        <x:f>K27/B27*'参数与结论'!$B$16/D27*10000</x:f>
        <x:v>0.2780952380952381</x:v>
      </x:c>
    </x:row>
    <x:row r="28" ht="23" customHeight="1">
      <x:c r="A28" s="2" t="n">
        <x:v>0.5</x:v>
      </x:c>
      <x:c r="B28" s="10" t="n">
        <x:f>A28*100000000</x:f>
        <x:v>50000000</x:v>
      </x:c>
      <x:c r="C28" s="10" t="str">
        <x:v>28D</x:v>
      </x:c>
      <x:c r="D28" s="16" t="n">
        <x:v>28</x:v>
      </x:c>
      <x:c r="E28" s="17" t="n">
        <x:f>MIN(B28/1000000*'参数与结论'!$B$11,'参数与结论'!$B$12)</x:f>
        <x:v>75</x:v>
      </x:c>
      <x:c r="F28" s="17" t="n">
        <x:f>'参数与结论'!$B$24</x:f>
        <x:v>120</x:v>
      </x:c>
      <x:c r="G28" s="17" t="n">
        <x:f>E28+F28</x:f>
        <x:v>195</x:v>
      </x:c>
      <x:c r="H28" s="17" t="n">
        <x:f>G28/B28*'参数与结论'!$B$16/D28*10000</x:f>
        <x:v>0.5083928571428572</x:v>
      </x:c>
      <x:c r="I28" s="18" t="n">
        <x:f>'参数与结论'!$B$7+H28/10000</x:f>
        <x:v>0.013550839285714286</x:v>
      </x:c>
      <x:c r="J28" s="17" t="n">
        <x:f>B28*('参数与结论'!$B$6-'参数与结论'!$B$7)*D28/'参数与结论'!$B$16-G28</x:f>
        <x:v>1722.8082191780838</x:v>
      </x:c>
      <x:c r="K28" s="17" t="n">
        <x:f>'参数与结论'!$B$30</x:f>
        <x:v>80</x:v>
      </x:c>
      <x:c r="L28" s="17" t="n">
        <x:f>K28/B28*'参数与结论'!$B$16/D28*10000</x:f>
        <x:v>0.20857142857142857</x:v>
      </x:c>
    </x:row>
    <x:row r="29" ht="23" customHeight="1">
      <x:c r="A29" s="2" t="n">
        <x:v>1</x:v>
      </x:c>
      <x:c r="B29" s="10" t="n">
        <x:f>A29*100000000</x:f>
        <x:v>100000000</x:v>
      </x:c>
      <x:c r="C29" s="10" t="str">
        <x:v>隔夜1天</x:v>
      </x:c>
      <x:c r="D29" s="16" t="n">
        <x:v>1</x:v>
      </x:c>
      <x:c r="E29" s="17" t="n">
        <x:f>MIN(B29/1000000*'参数与结论'!$B$10,'参数与结论'!$B$12)</x:f>
        <x:v>50</x:v>
      </x:c>
      <x:c r="F29" s="17" t="n">
        <x:f>'参数与结论'!$B$24</x:f>
        <x:v>120</x:v>
      </x:c>
      <x:c r="G29" s="17" t="n">
        <x:f>E29+F29</x:f>
        <x:v>170</x:v>
      </x:c>
      <x:c r="H29" s="17" t="n">
        <x:f>G29/B29*'参数与结论'!$B$16/D29*10000</x:f>
        <x:v>6.204999999999999</x:v>
      </x:c>
      <x:c r="I29" s="18" t="n">
        <x:f>'参数与结论'!$B$7+H29/10000</x:f>
        <x:v>0.0141205</x:v>
      </x:c>
      <x:c r="J29" s="17" t="n">
        <x:f>B29*('参数与结论'!$B$6-'参数与结论'!$B$7)*D29/'参数与结论'!$B$16-G29</x:f>
        <x:v>-33.01369863013687</x:v>
      </x:c>
      <x:c r="K29" s="17" t="n">
        <x:f>'参数与结论'!$B$30</x:f>
        <x:v>80</x:v>
      </x:c>
      <x:c r="L29" s="17" t="n">
        <x:f>K29/B29*'参数与结论'!$B$16/D29*10000</x:f>
        <x:v>2.92</x:v>
      </x:c>
    </x:row>
    <x:row r="30" ht="23" customHeight="1">
      <x:c r="A30" s="2" t="n">
        <x:v>1</x:v>
      </x:c>
      <x:c r="B30" s="10" t="n">
        <x:f>A30*100000000</x:f>
        <x:v>100000000</x:v>
      </x:c>
      <x:c r="C30" s="10" t="str">
        <x:v>隔夜3天</x:v>
      </x:c>
      <x:c r="D30" s="16" t="n">
        <x:v>3</x:v>
      </x:c>
      <x:c r="E30" s="17" t="n">
        <x:f>MIN(B30/1000000*'参数与结论'!$B$10,'参数与结论'!$B$12)</x:f>
        <x:v>50</x:v>
      </x:c>
      <x:c r="F30" s="17" t="n">
        <x:f>'参数与结论'!$B$24</x:f>
        <x:v>120</x:v>
      </x:c>
      <x:c r="G30" s="17" t="n">
        <x:f>E30+F30</x:f>
        <x:v>170</x:v>
      </x:c>
      <x:c r="H30" s="17" t="n">
        <x:f>G30/B30*'参数与结论'!$B$16/D30*10000</x:f>
        <x:v>2.068333333333333</x:v>
      </x:c>
      <x:c r="I30" s="18" t="n">
        <x:f>'参数与结论'!$B$7+H30/10000</x:f>
        <x:v>0.013706833333333333</x:v>
      </x:c>
      <x:c r="J30" s="17" t="n">
        <x:f>B30*('参数与结论'!$B$6-'参数与结论'!$B$7)*D30/'参数与结论'!$B$16-G30</x:f>
        <x:v>240.95890410958935</x:v>
      </x:c>
      <x:c r="K30" s="17" t="n">
        <x:f>'参数与结论'!$B$30</x:f>
        <x:v>80</x:v>
      </x:c>
      <x:c r="L30" s="17" t="n">
        <x:f>K30/B30*'参数与结论'!$B$16/D30*10000</x:f>
        <x:v>0.9733333333333333</x:v>
      </x:c>
    </x:row>
    <x:row r="31" ht="23" customHeight="1">
      <x:c r="A31" s="2" t="n">
        <x:v>1</x:v>
      </x:c>
      <x:c r="B31" s="10" t="n">
        <x:f>A31*100000000</x:f>
        <x:v>100000000</x:v>
      </x:c>
      <x:c r="C31" s="10" t="str">
        <x:v>7D</x:v>
      </x:c>
      <x:c r="D31" s="16" t="n">
        <x:v>7</x:v>
      </x:c>
      <x:c r="E31" s="17" t="n">
        <x:f>MIN(B31/1000000*'参数与结论'!$B$11,'参数与结论'!$B$12)</x:f>
        <x:v>150</x:v>
      </x:c>
      <x:c r="F31" s="17" t="n">
        <x:f>'参数与结论'!$B$24</x:f>
        <x:v>120</x:v>
      </x:c>
      <x:c r="G31" s="17" t="n">
        <x:f>E31+F31</x:f>
        <x:v>270</x:v>
      </x:c>
      <x:c r="H31" s="17" t="n">
        <x:f>G31/B31*'参数与结论'!$B$16/D31*10000</x:f>
        <x:v>1.4078571428571431</x:v>
      </x:c>
      <x:c r="I31" s="18" t="n">
        <x:f>'参数与结论'!$B$7+H31/10000</x:f>
        <x:v>0.013640785714285715</x:v>
      </x:c>
      <x:c r="J31" s="17" t="n">
        <x:f>B31*('参数与结论'!$B$6-'参数与结论'!$B$7)*D31/'参数与结论'!$B$16-G31</x:f>
        <x:v>688.9041095890419</x:v>
      </x:c>
      <x:c r="K31" s="17" t="n">
        <x:f>'参数与结论'!$B$30</x:f>
        <x:v>80</x:v>
      </x:c>
      <x:c r="L31" s="17" t="n">
        <x:f>K31/B31*'参数与结论'!$B$16/D31*10000</x:f>
        <x:v>0.41714285714285715</x:v>
      </x:c>
    </x:row>
    <x:row r="32" ht="23" customHeight="1">
      <x:c r="A32" s="2" t="n">
        <x:v>1</x:v>
      </x:c>
      <x:c r="B32" s="10" t="n">
        <x:f>A32*100000000</x:f>
        <x:v>100000000</x:v>
      </x:c>
      <x:c r="C32" s="10" t="str">
        <x:v>14D</x:v>
      </x:c>
      <x:c r="D32" s="16" t="n">
        <x:v>14</x:v>
      </x:c>
      <x:c r="E32" s="17" t="n">
        <x:f>MIN(B32/1000000*'参数与结论'!$B$11,'参数与结论'!$B$12)</x:f>
        <x:v>150</x:v>
      </x:c>
      <x:c r="F32" s="17" t="n">
        <x:f>'参数与结论'!$B$24</x:f>
        <x:v>120</x:v>
      </x:c>
      <x:c r="G32" s="17" t="n">
        <x:f>E32+F32</x:f>
        <x:v>270</x:v>
      </x:c>
      <x:c r="H32" s="17" t="n">
        <x:f>G32/B32*'参数与结论'!$B$16/D32*10000</x:f>
        <x:v>0.7039285714285716</x:v>
      </x:c>
      <x:c r="I32" s="18" t="n">
        <x:f>'参数与结论'!$B$7+H32/10000</x:f>
        <x:v>0.013570392857142857</x:v>
      </x:c>
      <x:c r="J32" s="17" t="n">
        <x:f>B32*('参数与结论'!$B$6-'参数与结论'!$B$7)*D32/'参数与结论'!$B$16-G32</x:f>
        <x:v>1647.8082191780838</x:v>
      </x:c>
      <x:c r="K32" s="17" t="n">
        <x:f>'参数与结论'!$B$30</x:f>
        <x:v>80</x:v>
      </x:c>
      <x:c r="L32" s="17" t="n">
        <x:f>K32/B32*'参数与结论'!$B$16/D32*10000</x:f>
        <x:v>0.20857142857142857</x:v>
      </x:c>
    </x:row>
    <x:row r="33" ht="23" customHeight="1">
      <x:c r="A33" s="2" t="n">
        <x:v>1</x:v>
      </x:c>
      <x:c r="B33" s="10" t="n">
        <x:f>A33*100000000</x:f>
        <x:v>100000000</x:v>
      </x:c>
      <x:c r="C33" s="10" t="str">
        <x:v>21D</x:v>
      </x:c>
      <x:c r="D33" s="16" t="n">
        <x:v>21</x:v>
      </x:c>
      <x:c r="E33" s="17" t="n">
        <x:f>MIN(B33/1000000*'参数与结论'!$B$11,'参数与结论'!$B$12)</x:f>
        <x:v>150</x:v>
      </x:c>
      <x:c r="F33" s="17" t="n">
        <x:f>'参数与结论'!$B$24</x:f>
        <x:v>120</x:v>
      </x:c>
      <x:c r="G33" s="17" t="n">
        <x:f>E33+F33</x:f>
        <x:v>270</x:v>
      </x:c>
      <x:c r="H33" s="17" t="n">
        <x:f>G33/B33*'参数与结论'!$B$16/D33*10000</x:f>
        <x:v>0.4692857142857143</x:v>
      </x:c>
      <x:c r="I33" s="18" t="n">
        <x:f>'参数与结论'!$B$7+H33/10000</x:f>
        <x:v>0.013546928571428571</x:v>
      </x:c>
      <x:c r="J33" s="17" t="n">
        <x:f>B33*('参数与结论'!$B$6-'参数与结论'!$B$7)*D33/'参数与结论'!$B$16-G33</x:f>
        <x:v>2606.7123287671257</x:v>
      </x:c>
      <x:c r="K33" s="17" t="n">
        <x:f>'参数与结论'!$B$30</x:f>
        <x:v>80</x:v>
      </x:c>
      <x:c r="L33" s="17" t="n">
        <x:f>K33/B33*'参数与结论'!$B$16/D33*10000</x:f>
        <x:v>0.13904761904761906</x:v>
      </x:c>
    </x:row>
    <x:row r="34" ht="23" customHeight="1">
      <x:c r="A34" s="2" t="n">
        <x:v>1</x:v>
      </x:c>
      <x:c r="B34" s="10" t="n">
        <x:f>A34*100000000</x:f>
        <x:v>100000000</x:v>
      </x:c>
      <x:c r="C34" s="10" t="str">
        <x:v>28D</x:v>
      </x:c>
      <x:c r="D34" s="16" t="n">
        <x:v>28</x:v>
      </x:c>
      <x:c r="E34" s="17" t="n">
        <x:f>MIN(B34/1000000*'参数与结论'!$B$11,'参数与结论'!$B$12)</x:f>
        <x:v>150</x:v>
      </x:c>
      <x:c r="F34" s="17" t="n">
        <x:f>'参数与结论'!$B$24</x:f>
        <x:v>120</x:v>
      </x:c>
      <x:c r="G34" s="17" t="n">
        <x:f>E34+F34</x:f>
        <x:v>270</x:v>
      </x:c>
      <x:c r="H34" s="17" t="n">
        <x:f>G34/B34*'参数与结论'!$B$16/D34*10000</x:f>
        <x:v>0.3519642857142858</x:v>
      </x:c>
      <x:c r="I34" s="18" t="n">
        <x:f>'参数与结论'!$B$7+H34/10000</x:f>
        <x:v>0.013535196428571428</x:v>
      </x:c>
      <x:c r="J34" s="17" t="n">
        <x:f>B34*('参数与结论'!$B$6-'参数与结论'!$B$7)*D34/'参数与结论'!$B$16-G34</x:f>
        <x:v>3565.6164383561677</x:v>
      </x:c>
      <x:c r="K34" s="17" t="n">
        <x:f>'参数与结论'!$B$30</x:f>
        <x:v>80</x:v>
      </x:c>
      <x:c r="L34" s="17" t="n">
        <x:f>K34/B34*'参数与结论'!$B$16/D34*10000</x:f>
        <x:v>0.10428571428571429</x:v>
      </x:c>
    </x:row>
    <x:row r="35" ht="23" customHeight="1">
      <x:c r="A35" s="2" t="n">
        <x:v>2</x:v>
      </x:c>
      <x:c r="B35" s="10" t="n">
        <x:f>A35*100000000</x:f>
        <x:v>200000000</x:v>
      </x:c>
      <x:c r="C35" s="10" t="str">
        <x:v>隔夜1天</x:v>
      </x:c>
      <x:c r="D35" s="16" t="n">
        <x:v>1</x:v>
      </x:c>
      <x:c r="E35" s="17" t="n">
        <x:f>MIN(B35/1000000*'参数与结论'!$B$10,'参数与结论'!$B$12)</x:f>
        <x:v>100</x:v>
      </x:c>
      <x:c r="F35" s="17" t="n">
        <x:f>'参数与结论'!$B$24</x:f>
        <x:v>120</x:v>
      </x:c>
      <x:c r="G35" s="17" t="n">
        <x:f>E35+F35</x:f>
        <x:v>220</x:v>
      </x:c>
      <x:c r="H35" s="17" t="n">
        <x:f>G35/B35*'参数与结论'!$B$16/D35*10000</x:f>
        <x:v>4.015</x:v>
      </x:c>
      <x:c r="I35" s="18" t="n">
        <x:f>'参数与结论'!$B$7+H35/10000</x:f>
        <x:v>0.0139015</x:v>
      </x:c>
      <x:c r="J35" s="17" t="n">
        <x:f>B35*('参数与结论'!$B$6-'参数与结论'!$B$7)*D35/'参数与结论'!$B$16-G35</x:f>
        <x:v>53.972602739726256</x:v>
      </x:c>
      <x:c r="K35" s="17" t="n">
        <x:f>'参数与结论'!$B$30</x:f>
        <x:v>80</x:v>
      </x:c>
      <x:c r="L35" s="17" t="n">
        <x:f>K35/B35*'参数与结论'!$B$16/D35*10000</x:f>
        <x:v>1.46</x:v>
      </x:c>
    </x:row>
    <x:row r="36" ht="23" customHeight="1">
      <x:c r="A36" s="2" t="n">
        <x:v>2</x:v>
      </x:c>
      <x:c r="B36" s="10" t="n">
        <x:f>A36*100000000</x:f>
        <x:v>200000000</x:v>
      </x:c>
      <x:c r="C36" s="10" t="str">
        <x:v>隔夜3天</x:v>
      </x:c>
      <x:c r="D36" s="16" t="n">
        <x:v>3</x:v>
      </x:c>
      <x:c r="E36" s="17" t="n">
        <x:f>MIN(B36/1000000*'参数与结论'!$B$10,'参数与结论'!$B$12)</x:f>
        <x:v>100</x:v>
      </x:c>
      <x:c r="F36" s="17" t="n">
        <x:f>'参数与结论'!$B$24</x:f>
        <x:v>120</x:v>
      </x:c>
      <x:c r="G36" s="17" t="n">
        <x:f>E36+F36</x:f>
        <x:v>220</x:v>
      </x:c>
      <x:c r="H36" s="17" t="n">
        <x:f>G36/B36*'参数与结论'!$B$16/D36*10000</x:f>
        <x:v>1.3383333333333332</x:v>
      </x:c>
      <x:c r="I36" s="18" t="n">
        <x:f>'参数与结论'!$B$7+H36/10000</x:f>
        <x:v>0.013633833333333333</x:v>
      </x:c>
      <x:c r="J36" s="17" t="n">
        <x:f>B36*('参数与结论'!$B$6-'参数与结论'!$B$7)*D36/'参数与结论'!$B$16-G36</x:f>
        <x:v>601.9178082191787</x:v>
      </x:c>
      <x:c r="K36" s="17" t="n">
        <x:f>'参数与结论'!$B$30</x:f>
        <x:v>80</x:v>
      </x:c>
      <x:c r="L36" s="17" t="n">
        <x:f>K36/B36*'参数与结论'!$B$16/D36*10000</x:f>
        <x:v>0.48666666666666664</x:v>
      </x:c>
    </x:row>
    <x:row r="37" ht="23" customHeight="1">
      <x:c r="A37" s="2" t="n">
        <x:v>2</x:v>
      </x:c>
      <x:c r="B37" s="10" t="n">
        <x:f>A37*100000000</x:f>
        <x:v>200000000</x:v>
      </x:c>
      <x:c r="C37" s="10" t="str">
        <x:v>7D</x:v>
      </x:c>
      <x:c r="D37" s="16" t="n">
        <x:v>7</x:v>
      </x:c>
      <x:c r="E37" s="17" t="n">
        <x:f>MIN(B37/1000000*'参数与结论'!$B$11,'参数与结论'!$B$12)</x:f>
        <x:v>300</x:v>
      </x:c>
      <x:c r="F37" s="17" t="n">
        <x:f>'参数与结论'!$B$24</x:f>
        <x:v>120</x:v>
      </x:c>
      <x:c r="G37" s="17" t="n">
        <x:f>E37+F37</x:f>
        <x:v>420</x:v>
      </x:c>
      <x:c r="H37" s="17" t="n">
        <x:f>G37/B37*'参数与结论'!$B$16/D37*10000</x:f>
        <x:v>1.095</x:v>
      </x:c>
      <x:c r="I37" s="18" t="n">
        <x:f>'参数与结论'!$B$7+H37/10000</x:f>
        <x:v>0.0136095</x:v>
      </x:c>
      <x:c r="J37" s="17" t="n">
        <x:f>B37*('参数与结论'!$B$6-'参数与结论'!$B$7)*D37/'参数与结论'!$B$16-G37</x:f>
        <x:v>1497.8082191780838</x:v>
      </x:c>
      <x:c r="K37" s="17" t="n">
        <x:f>'参数与结论'!$B$30</x:f>
        <x:v>80</x:v>
      </x:c>
      <x:c r="L37" s="17" t="n">
        <x:f>K37/B37*'参数与结论'!$B$16/D37*10000</x:f>
        <x:v>0.20857142857142857</x:v>
      </x:c>
    </x:row>
    <x:row r="38" ht="23" customHeight="1">
      <x:c r="A38" s="2" t="n">
        <x:v>2</x:v>
      </x:c>
      <x:c r="B38" s="10" t="n">
        <x:f>A38*100000000</x:f>
        <x:v>200000000</x:v>
      </x:c>
      <x:c r="C38" s="10" t="str">
        <x:v>14D</x:v>
      </x:c>
      <x:c r="D38" s="16" t="n">
        <x:v>14</x:v>
      </x:c>
      <x:c r="E38" s="17" t="n">
        <x:f>MIN(B38/1000000*'参数与结论'!$B$11,'参数与结论'!$B$12)</x:f>
        <x:v>300</x:v>
      </x:c>
      <x:c r="F38" s="17" t="n">
        <x:f>'参数与结论'!$B$24</x:f>
        <x:v>120</x:v>
      </x:c>
      <x:c r="G38" s="17" t="n">
        <x:f>E38+F38</x:f>
        <x:v>420</x:v>
      </x:c>
      <x:c r="H38" s="17" t="n">
        <x:f>G38/B38*'参数与结论'!$B$16/D38*10000</x:f>
        <x:v>0.5475</x:v>
      </x:c>
      <x:c r="I38" s="18" t="n">
        <x:f>'参数与结论'!$B$7+H38/10000</x:f>
        <x:v>0.013554749999999999</x:v>
      </x:c>
      <x:c r="J38" s="17" t="n">
        <x:f>B38*('参数与结论'!$B$6-'参数与结论'!$B$7)*D38/'参数与结论'!$B$16-G38</x:f>
        <x:v>3415.6164383561677</x:v>
      </x:c>
      <x:c r="K38" s="17" t="n">
        <x:f>'参数与结论'!$B$30</x:f>
        <x:v>80</x:v>
      </x:c>
      <x:c r="L38" s="17" t="n">
        <x:f>K38/B38*'参数与结论'!$B$16/D38*10000</x:f>
        <x:v>0.10428571428571429</x:v>
      </x:c>
    </x:row>
    <x:row r="39" ht="23" customHeight="1">
      <x:c r="A39" s="2" t="n">
        <x:v>2</x:v>
      </x:c>
      <x:c r="B39" s="10" t="n">
        <x:f>A39*100000000</x:f>
        <x:v>200000000</x:v>
      </x:c>
      <x:c r="C39" s="10" t="str">
        <x:v>21D</x:v>
      </x:c>
      <x:c r="D39" s="16" t="n">
        <x:v>21</x:v>
      </x:c>
      <x:c r="E39" s="17" t="n">
        <x:f>MIN(B39/1000000*'参数与结论'!$B$11,'参数与结论'!$B$12)</x:f>
        <x:v>300</x:v>
      </x:c>
      <x:c r="F39" s="17" t="n">
        <x:f>'参数与结论'!$B$24</x:f>
        <x:v>120</x:v>
      </x:c>
      <x:c r="G39" s="17" t="n">
        <x:f>E39+F39</x:f>
        <x:v>420</x:v>
      </x:c>
      <x:c r="H39" s="17" t="n">
        <x:f>G39/B39*'参数与结论'!$B$16/D39*10000</x:f>
        <x:v>0.365</x:v>
      </x:c>
      <x:c r="I39" s="18" t="n">
        <x:f>'参数与结论'!$B$7+H39/10000</x:f>
        <x:v>0.0135365</x:v>
      </x:c>
      <x:c r="J39" s="17" t="n">
        <x:f>B39*('参数与结论'!$B$6-'参数与结论'!$B$7)*D39/'参数与结论'!$B$16-G39</x:f>
        <x:v>5333.424657534251</x:v>
      </x:c>
      <x:c r="K39" s="17" t="n">
        <x:f>'参数与结论'!$B$30</x:f>
        <x:v>80</x:v>
      </x:c>
      <x:c r="L39" s="17" t="n">
        <x:f>K39/B39*'参数与结论'!$B$16/D39*10000</x:f>
        <x:v>0.06952380952380953</x:v>
      </x:c>
    </x:row>
    <x:row r="40" ht="23" customHeight="1">
      <x:c r="A40" s="2" t="n">
        <x:v>2</x:v>
      </x:c>
      <x:c r="B40" s="10" t="n">
        <x:f>A40*100000000</x:f>
        <x:v>200000000</x:v>
      </x:c>
      <x:c r="C40" s="10" t="str">
        <x:v>28D</x:v>
      </x:c>
      <x:c r="D40" s="16" t="n">
        <x:v>28</x:v>
      </x:c>
      <x:c r="E40" s="17" t="n">
        <x:f>MIN(B40/1000000*'参数与结论'!$B$11,'参数与结论'!$B$12)</x:f>
        <x:v>300</x:v>
      </x:c>
      <x:c r="F40" s="17" t="n">
        <x:f>'参数与结论'!$B$24</x:f>
        <x:v>120</x:v>
      </x:c>
      <x:c r="G40" s="17" t="n">
        <x:f>E40+F40</x:f>
        <x:v>420</x:v>
      </x:c>
      <x:c r="H40" s="17" t="n">
        <x:f>G40/B40*'参数与结论'!$B$16/D40*10000</x:f>
        <x:v>0.27375</x:v>
      </x:c>
      <x:c r="I40" s="18" t="n">
        <x:f>'参数与结论'!$B$7+H40/10000</x:f>
        <x:v>0.013527375</x:v>
      </x:c>
      <x:c r="J40" s="17" t="n">
        <x:f>B40*('参数与结论'!$B$6-'参数与结论'!$B$7)*D40/'参数与结论'!$B$16-G40</x:f>
        <x:v>7251.232876712335</x:v>
      </x:c>
      <x:c r="K40" s="17" t="n">
        <x:f>'参数与结论'!$B$30</x:f>
        <x:v>80</x:v>
      </x:c>
      <x:c r="L40" s="17" t="n">
        <x:f>K40/B40*'参数与结论'!$B$16/D40*10000</x:f>
        <x:v>0.052142857142857144</x:v>
      </x:c>
    </x:row>
    <x:row r="41" ht="23" customHeight="1">
      <x:c r="A41" s="2" t="n">
        <x:v>5</x:v>
      </x:c>
      <x:c r="B41" s="10" t="n">
        <x:f>A41*100000000</x:f>
        <x:v>500000000</x:v>
      </x:c>
      <x:c r="C41" s="10" t="str">
        <x:v>隔夜1天</x:v>
      </x:c>
      <x:c r="D41" s="16" t="n">
        <x:v>1</x:v>
      </x:c>
      <x:c r="E41" s="17" t="n">
        <x:f>MIN(B41/1000000*'参数与结论'!$B$10,'参数与结论'!$B$12)</x:f>
        <x:v>250</x:v>
      </x:c>
      <x:c r="F41" s="17" t="n">
        <x:f>'参数与结论'!$B$24</x:f>
        <x:v>120</x:v>
      </x:c>
      <x:c r="G41" s="17" t="n">
        <x:f>E41+F41</x:f>
        <x:v>370</x:v>
      </x:c>
      <x:c r="H41" s="17" t="n">
        <x:f>G41/B41*'参数与结论'!$B$16/D41*10000</x:f>
        <x:v>2.701</x:v>
      </x:c>
      <x:c r="I41" s="18" t="n">
        <x:f>'参数与结论'!$B$7+H41/10000</x:f>
        <x:v>0.0137701</x:v>
      </x:c>
      <x:c r="J41" s="17" t="n">
        <x:f>B41*('参数与结论'!$B$6-'参数与结论'!$B$7)*D41/'参数与结论'!$B$16-G41</x:f>
        <x:v>314.9315068493157</x:v>
      </x:c>
      <x:c r="K41" s="17" t="n">
        <x:f>'参数与结论'!$B$30</x:f>
        <x:v>80</x:v>
      </x:c>
      <x:c r="L41" s="17" t="n">
        <x:f>K41/B41*'参数与结论'!$B$16/D41*10000</x:f>
        <x:v>0.5840000000000001</x:v>
      </x:c>
    </x:row>
    <x:row r="42" ht="23" customHeight="1">
      <x:c r="A42" s="2" t="n">
        <x:v>5</x:v>
      </x:c>
      <x:c r="B42" s="10" t="n">
        <x:f>A42*100000000</x:f>
        <x:v>500000000</x:v>
      </x:c>
      <x:c r="C42" s="10" t="str">
        <x:v>隔夜3天</x:v>
      </x:c>
      <x:c r="D42" s="16" t="n">
        <x:v>3</x:v>
      </x:c>
      <x:c r="E42" s="17" t="n">
        <x:f>MIN(B42/1000000*'参数与结论'!$B$10,'参数与结论'!$B$12)</x:f>
        <x:v>250</x:v>
      </x:c>
      <x:c r="F42" s="17" t="n">
        <x:f>'参数与结论'!$B$24</x:f>
        <x:v>120</x:v>
      </x:c>
      <x:c r="G42" s="17" t="n">
        <x:f>E42+F42</x:f>
        <x:v>370</x:v>
      </x:c>
      <x:c r="H42" s="17" t="n">
        <x:f>G42/B42*'参数与结论'!$B$16/D42*10000</x:f>
        <x:v>0.9003333333333333</x:v>
      </x:c>
      <x:c r="I42" s="18" t="n">
        <x:f>'参数与结论'!$B$7+H42/10000</x:f>
        <x:v>0.013590033333333333</x:v>
      </x:c>
      <x:c r="J42" s="17" t="n">
        <x:f>B42*('参数与结论'!$B$6-'参数与结论'!$B$7)*D42/'参数与结论'!$B$16-G42</x:f>
        <x:v>1684.7945205479473</x:v>
      </x:c>
      <x:c r="K42" s="17" t="n">
        <x:f>'参数与结论'!$B$30</x:f>
        <x:v>80</x:v>
      </x:c>
      <x:c r="L42" s="17" t="n">
        <x:f>K42/B42*'参数与结论'!$B$16/D42*10000</x:f>
        <x:v>0.19466666666666668</x:v>
      </x:c>
    </x:row>
    <x:row r="43" ht="23" customHeight="1">
      <x:c r="A43" s="2" t="n">
        <x:v>5</x:v>
      </x:c>
      <x:c r="B43" s="10" t="n">
        <x:f>A43*100000000</x:f>
        <x:v>500000000</x:v>
      </x:c>
      <x:c r="C43" s="10" t="str">
        <x:v>7D</x:v>
      </x:c>
      <x:c r="D43" s="16" t="n">
        <x:v>7</x:v>
      </x:c>
      <x:c r="E43" s="17" t="n">
        <x:f>MIN(B43/1000000*'参数与结论'!$B$11,'参数与结论'!$B$12)</x:f>
        <x:v>750</x:v>
      </x:c>
      <x:c r="F43" s="17" t="n">
        <x:f>'参数与结论'!$B$24</x:f>
        <x:v>120</x:v>
      </x:c>
      <x:c r="G43" s="17" t="n">
        <x:f>E43+F43</x:f>
        <x:v>870</x:v>
      </x:c>
      <x:c r="H43" s="17" t="n">
        <x:f>G43/B43*'参数与结论'!$B$16/D43*10000</x:f>
        <x:v>0.9072857142857143</x:v>
      </x:c>
      <x:c r="I43" s="18" t="n">
        <x:f>'参数与结论'!$B$7+H43/10000</x:f>
        <x:v>0.013590728571428571</x:v>
      </x:c>
      <x:c r="J43" s="17" t="n">
        <x:f>B43*('参数与结论'!$B$6-'参数与结论'!$B$7)*D43/'参数与结论'!$B$16-G43</x:f>
        <x:v>3924.5205479452097</x:v>
      </x:c>
      <x:c r="K43" s="17" t="n">
        <x:f>'参数与结论'!$B$30</x:f>
        <x:v>80</x:v>
      </x:c>
      <x:c r="L43" s="17" t="n">
        <x:f>K43/B43*'参数与结论'!$B$16/D43*10000</x:f>
        <x:v>0.08342857142857144</x:v>
      </x:c>
    </x:row>
    <x:row r="44" ht="23" customHeight="1">
      <x:c r="A44" s="2" t="n">
        <x:v>5</x:v>
      </x:c>
      <x:c r="B44" s="10" t="n">
        <x:f>A44*100000000</x:f>
        <x:v>500000000</x:v>
      </x:c>
      <x:c r="C44" s="10" t="str">
        <x:v>14D</x:v>
      </x:c>
      <x:c r="D44" s="16" t="n">
        <x:v>14</x:v>
      </x:c>
      <x:c r="E44" s="17" t="n">
        <x:f>MIN(B44/1000000*'参数与结论'!$B$11,'参数与结论'!$B$12)</x:f>
        <x:v>750</x:v>
      </x:c>
      <x:c r="F44" s="17" t="n">
        <x:f>'参数与结论'!$B$24</x:f>
        <x:v>120</x:v>
      </x:c>
      <x:c r="G44" s="17" t="n">
        <x:f>E44+F44</x:f>
        <x:v>870</x:v>
      </x:c>
      <x:c r="H44" s="17" t="n">
        <x:f>G44/B44*'参数与结论'!$B$16/D44*10000</x:f>
        <x:v>0.4536428571428571</x:v>
      </x:c>
      <x:c r="I44" s="18" t="n">
        <x:f>'参数与结论'!$B$7+H44/10000</x:f>
        <x:v>0.013545364285714286</x:v>
      </x:c>
      <x:c r="J44" s="17" t="n">
        <x:f>B44*('参数与结论'!$B$6-'参数与结论'!$B$7)*D44/'参数与结论'!$B$16-G44</x:f>
        <x:v>8719.04109589042</x:v>
      </x:c>
      <x:c r="K44" s="17" t="n">
        <x:f>'参数与结论'!$B$30</x:f>
        <x:v>80</x:v>
      </x:c>
      <x:c r="L44" s="17" t="n">
        <x:f>K44/B44*'参数与结论'!$B$16/D44*10000</x:f>
        <x:v>0.04171428571428572</x:v>
      </x:c>
    </x:row>
    <x:row r="45" ht="23" customHeight="1">
      <x:c r="A45" s="2" t="n">
        <x:v>5</x:v>
      </x:c>
      <x:c r="B45" s="10" t="n">
        <x:f>A45*100000000</x:f>
        <x:v>500000000</x:v>
      </x:c>
      <x:c r="C45" s="10" t="str">
        <x:v>21D</x:v>
      </x:c>
      <x:c r="D45" s="16" t="n">
        <x:v>21</x:v>
      </x:c>
      <x:c r="E45" s="17" t="n">
        <x:f>MIN(B45/1000000*'参数与结论'!$B$11,'参数与结论'!$B$12)</x:f>
        <x:v>750</x:v>
      </x:c>
      <x:c r="F45" s="17" t="n">
        <x:f>'参数与结论'!$B$24</x:f>
        <x:v>120</x:v>
      </x:c>
      <x:c r="G45" s="17" t="n">
        <x:f>E45+F45</x:f>
        <x:v>870</x:v>
      </x:c>
      <x:c r="H45" s="17" t="n">
        <x:f>G45/B45*'参数与结论'!$B$16/D45*10000</x:f>
        <x:v>0.30242857142857144</x:v>
      </x:c>
      <x:c r="I45" s="18" t="n">
        <x:f>'参数与结论'!$B$7+H45/10000</x:f>
        <x:v>0.013530242857142856</x:v>
      </x:c>
      <x:c r="J45" s="17" t="n">
        <x:f>B45*('参数与结论'!$B$6-'参数与结论'!$B$7)*D45/'参数与结论'!$B$16-G45</x:f>
        <x:v>13513.56164383563</x:v>
      </x:c>
      <x:c r="K45" s="17" t="n">
        <x:f>'参数与结论'!$B$30</x:f>
        <x:v>80</x:v>
      </x:c>
      <x:c r="L45" s="17" t="n">
        <x:f>K45/B45*'参数与结论'!$B$16/D45*10000</x:f>
        <x:v>0.027809523809523812</x:v>
      </x:c>
    </x:row>
    <x:row r="46" ht="23" customHeight="1">
      <x:c r="A46" s="2" t="n">
        <x:v>5</x:v>
      </x:c>
      <x:c r="B46" s="10" t="n">
        <x:f>A46*100000000</x:f>
        <x:v>500000000</x:v>
      </x:c>
      <x:c r="C46" s="10" t="str">
        <x:v>28D</x:v>
      </x:c>
      <x:c r="D46" s="16" t="n">
        <x:v>28</x:v>
      </x:c>
      <x:c r="E46" s="17" t="n">
        <x:f>MIN(B46/1000000*'参数与结论'!$B$11,'参数与结论'!$B$12)</x:f>
        <x:v>750</x:v>
      </x:c>
      <x:c r="F46" s="17" t="n">
        <x:f>'参数与结论'!$B$24</x:f>
        <x:v>120</x:v>
      </x:c>
      <x:c r="G46" s="17" t="n">
        <x:f>E46+F46</x:f>
        <x:v>870</x:v>
      </x:c>
      <x:c r="H46" s="17" t="n">
        <x:f>G46/B46*'参数与结论'!$B$16/D46*10000</x:f>
        <x:v>0.22682142857142856</x:v>
      </x:c>
      <x:c r="I46" s="18" t="n">
        <x:f>'参数与结论'!$B$7+H46/10000</x:f>
        <x:v>0.013522682142857142</x:v>
      </x:c>
      <x:c r="J46" s="17" t="n">
        <x:f>B46*('参数与结论'!$B$6-'参数与结论'!$B$7)*D46/'参数与结论'!$B$16-G46</x:f>
        <x:v>18308.08219178084</x:v>
      </x:c>
      <x:c r="K46" s="17" t="n">
        <x:f>'参数与结论'!$B$30</x:f>
        <x:v>80</x:v>
      </x:c>
      <x:c r="L46" s="17" t="n">
        <x:f>K46/B46*'参数与结论'!$B$16/D46*10000</x:f>
        <x:v>0.02085714285714286</x:v>
      </x:c>
    </x:row>
    <x:row r="47" ht="23" customHeight="1">
      <x:c r="A47" s="2" t="n">
        <x:v>10</x:v>
      </x:c>
      <x:c r="B47" s="10" t="n">
        <x:f>A47*100000000</x:f>
        <x:v>1000000000</x:v>
      </x:c>
      <x:c r="C47" s="10" t="str">
        <x:v>隔夜1天</x:v>
      </x:c>
      <x:c r="D47" s="16" t="n">
        <x:v>1</x:v>
      </x:c>
      <x:c r="E47" s="17" t="n">
        <x:f>MIN(B47/1000000*'参数与结论'!$B$10,'参数与结论'!$B$12)</x:f>
        <x:v>500</x:v>
      </x:c>
      <x:c r="F47" s="17" t="n">
        <x:f>'参数与结论'!$B$24</x:f>
        <x:v>120</x:v>
      </x:c>
      <x:c r="G47" s="17" t="n">
        <x:f>E47+F47</x:f>
        <x:v>620</x:v>
      </x:c>
      <x:c r="H47" s="17" t="n">
        <x:f>G47/B47*'参数与结论'!$B$16/D47*10000</x:f>
        <x:v>2.263</x:v>
      </x:c>
      <x:c r="I47" s="18" t="n">
        <x:f>'参数与结论'!$B$7+H47/10000</x:f>
        <x:v>0.0137263</x:v>
      </x:c>
      <x:c r="J47" s="17" t="n">
        <x:f>B47*('参数与结论'!$B$6-'参数与结论'!$B$7)*D47/'参数与结论'!$B$16-G47</x:f>
        <x:v>749.8630136986314</x:v>
      </x:c>
      <x:c r="K47" s="17" t="n">
        <x:f>'参数与结论'!$B$30</x:f>
        <x:v>80</x:v>
      </x:c>
      <x:c r="L47" s="17" t="n">
        <x:f>K47/B47*'参数与结论'!$B$16/D47*10000</x:f>
        <x:v>0.29200000000000004</x:v>
      </x:c>
    </x:row>
    <x:row r="48" ht="23" customHeight="1">
      <x:c r="A48" s="2" t="n">
        <x:v>10</x:v>
      </x:c>
      <x:c r="B48" s="10" t="n">
        <x:f>A48*100000000</x:f>
        <x:v>1000000000</x:v>
      </x:c>
      <x:c r="C48" s="10" t="str">
        <x:v>隔夜3天</x:v>
      </x:c>
      <x:c r="D48" s="16" t="n">
        <x:v>3</x:v>
      </x:c>
      <x:c r="E48" s="17" t="n">
        <x:f>MIN(B48/1000000*'参数与结论'!$B$10,'参数与结论'!$B$12)</x:f>
        <x:v>500</x:v>
      </x:c>
      <x:c r="F48" s="17" t="n">
        <x:f>'参数与结论'!$B$24</x:f>
        <x:v>120</x:v>
      </x:c>
      <x:c r="G48" s="17" t="n">
        <x:f>E48+F48</x:f>
        <x:v>620</x:v>
      </x:c>
      <x:c r="H48" s="17" t="n">
        <x:f>G48/B48*'参数与结论'!$B$16/D48*10000</x:f>
        <x:v>0.7543333333333333</x:v>
      </x:c>
      <x:c r="I48" s="18" t="n">
        <x:f>'参数与结论'!$B$7+H48/10000</x:f>
        <x:v>0.013575433333333333</x:v>
      </x:c>
      <x:c r="J48" s="17" t="n">
        <x:f>B48*('参数与结论'!$B$6-'参数与结论'!$B$7)*D48/'参数与结论'!$B$16-G48</x:f>
        <x:v>3489.5890410958946</x:v>
      </x:c>
      <x:c r="K48" s="17" t="n">
        <x:f>'参数与结论'!$B$30</x:f>
        <x:v>80</x:v>
      </x:c>
      <x:c r="L48" s="17" t="n">
        <x:f>K48/B48*'参数与结论'!$B$16/D48*10000</x:f>
        <x:v>0.09733333333333334</x:v>
      </x:c>
    </x:row>
    <x:row r="49" ht="23" customHeight="1">
      <x:c r="A49" s="2" t="n">
        <x:v>10</x:v>
      </x:c>
      <x:c r="B49" s="10" t="n">
        <x:f>A49*100000000</x:f>
        <x:v>1000000000</x:v>
      </x:c>
      <x:c r="C49" s="10" t="str">
        <x:v>7D</x:v>
      </x:c>
      <x:c r="D49" s="16" t="n">
        <x:v>7</x:v>
      </x:c>
      <x:c r="E49" s="17" t="n">
        <x:f>MIN(B49/1000000*'参数与结论'!$B$11,'参数与结论'!$B$12)</x:f>
        <x:v>1000</x:v>
      </x:c>
      <x:c r="F49" s="17" t="n">
        <x:f>'参数与结论'!$B$24</x:f>
        <x:v>120</x:v>
      </x:c>
      <x:c r="G49" s="17" t="n">
        <x:f>E49+F49</x:f>
        <x:v>1120</x:v>
      </x:c>
      <x:c r="H49" s="17" t="n">
        <x:f>G49/B49*'参数与结论'!$B$16/D49*10000</x:f>
        <x:v>0.5840000000000001</x:v>
      </x:c>
      <x:c r="I49" s="18" t="n">
        <x:f>'参数与结论'!$B$7+H49/10000</x:f>
        <x:v>0.0135584</x:v>
      </x:c>
      <x:c r="J49" s="17" t="n">
        <x:f>B49*('参数与结论'!$B$6-'参数与结论'!$B$7)*D49/'参数与结论'!$B$16-G49</x:f>
        <x:v>8469.04109589042</x:v>
      </x:c>
      <x:c r="K49" s="17" t="n">
        <x:f>'参数与结论'!$B$30</x:f>
        <x:v>80</x:v>
      </x:c>
      <x:c r="L49" s="17" t="n">
        <x:f>K49/B49*'参数与结论'!$B$16/D49*10000</x:f>
        <x:v>0.04171428571428572</x:v>
      </x:c>
    </x:row>
    <x:row r="50" ht="23" customHeight="1">
      <x:c r="A50" s="2" t="n">
        <x:v>10</x:v>
      </x:c>
      <x:c r="B50" s="10" t="n">
        <x:f>A50*100000000</x:f>
        <x:v>1000000000</x:v>
      </x:c>
      <x:c r="C50" s="10" t="str">
        <x:v>14D</x:v>
      </x:c>
      <x:c r="D50" s="16" t="n">
        <x:v>14</x:v>
      </x:c>
      <x:c r="E50" s="17" t="n">
        <x:f>MIN(B50/1000000*'参数与结论'!$B$11,'参数与结论'!$B$12)</x:f>
        <x:v>1000</x:v>
      </x:c>
      <x:c r="F50" s="17" t="n">
        <x:f>'参数与结论'!$B$24</x:f>
        <x:v>120</x:v>
      </x:c>
      <x:c r="G50" s="17" t="n">
        <x:f>E50+F50</x:f>
        <x:v>1120</x:v>
      </x:c>
      <x:c r="H50" s="17" t="n">
        <x:f>G50/B50*'参数与结论'!$B$16/D50*10000</x:f>
        <x:v>0.29200000000000004</x:v>
      </x:c>
      <x:c r="I50" s="18" t="n">
        <x:f>'参数与结论'!$B$7+H50/10000</x:f>
        <x:v>0.0135292</x:v>
      </x:c>
      <x:c r="J50" s="17" t="n">
        <x:f>B50*('参数与结论'!$B$6-'参数与结论'!$B$7)*D50/'参数与结论'!$B$16-G50</x:f>
        <x:v>18058.08219178084</x:v>
      </x:c>
      <x:c r="K50" s="17" t="n">
        <x:f>'参数与结论'!$B$30</x:f>
        <x:v>80</x:v>
      </x:c>
      <x:c r="L50" s="17" t="n">
        <x:f>K50/B50*'参数与结论'!$B$16/D50*10000</x:f>
        <x:v>0.02085714285714286</x:v>
      </x:c>
    </x:row>
    <x:row r="51" ht="23" customHeight="1">
      <x:c r="A51" s="2" t="n">
        <x:v>10</x:v>
      </x:c>
      <x:c r="B51" s="10" t="n">
        <x:f>A51*100000000</x:f>
        <x:v>1000000000</x:v>
      </x:c>
      <x:c r="C51" s="10" t="str">
        <x:v>21D</x:v>
      </x:c>
      <x:c r="D51" s="16" t="n">
        <x:v>21</x:v>
      </x:c>
      <x:c r="E51" s="17" t="n">
        <x:f>MIN(B51/1000000*'参数与结论'!$B$11,'参数与结论'!$B$12)</x:f>
        <x:v>1000</x:v>
      </x:c>
      <x:c r="F51" s="17" t="n">
        <x:f>'参数与结论'!$B$24</x:f>
        <x:v>120</x:v>
      </x:c>
      <x:c r="G51" s="17" t="n">
        <x:f>E51+F51</x:f>
        <x:v>1120</x:v>
      </x:c>
      <x:c r="H51" s="17" t="n">
        <x:f>G51/B51*'参数与结论'!$B$16/D51*10000</x:f>
        <x:v>0.19466666666666668</x:v>
      </x:c>
      <x:c r="I51" s="18" t="n">
        <x:f>'参数与结论'!$B$7+H51/10000</x:f>
        <x:v>0.013519466666666667</x:v>
      </x:c>
      <x:c r="J51" s="17" t="n">
        <x:f>B51*('参数与结论'!$B$6-'参数与结论'!$B$7)*D51/'参数与结论'!$B$16-G51</x:f>
        <x:v>27647.12328767126</x:v>
      </x:c>
      <x:c r="K51" s="17" t="n">
        <x:f>'参数与结论'!$B$30</x:f>
        <x:v>80</x:v>
      </x:c>
      <x:c r="L51" s="17" t="n">
        <x:f>K51/B51*'参数与结论'!$B$16/D51*10000</x:f>
        <x:v>0.013904761904761906</x:v>
      </x:c>
    </x:row>
    <x:row r="52" ht="23" customHeight="1">
      <x:c r="A52" s="2" t="n">
        <x:v>10</x:v>
      </x:c>
      <x:c r="B52" s="10" t="n">
        <x:f>A52*100000000</x:f>
        <x:v>1000000000</x:v>
      </x:c>
      <x:c r="C52" s="10" t="str">
        <x:v>28D</x:v>
      </x:c>
      <x:c r="D52" s="16" t="n">
        <x:v>28</x:v>
      </x:c>
      <x:c r="E52" s="17" t="n">
        <x:f>MIN(B52/1000000*'参数与结论'!$B$11,'参数与结论'!$B$12)</x:f>
        <x:v>1000</x:v>
      </x:c>
      <x:c r="F52" s="17" t="n">
        <x:f>'参数与结论'!$B$24</x:f>
        <x:v>120</x:v>
      </x:c>
      <x:c r="G52" s="17" t="n">
        <x:f>E52+F52</x:f>
        <x:v>1120</x:v>
      </x:c>
      <x:c r="H52" s="17" t="n">
        <x:f>G52/B52*'参数与结论'!$B$16/D52*10000</x:f>
        <x:v>0.14600000000000002</x:v>
      </x:c>
      <x:c r="I52" s="18" t="n">
        <x:f>'参数与结论'!$B$7+H52/10000</x:f>
        <x:v>0.0135146</x:v>
      </x:c>
      <x:c r="J52" s="17" t="n">
        <x:f>B52*('参数与结论'!$B$6-'参数与结论'!$B$7)*D52/'参数与结论'!$B$16-G52</x:f>
        <x:v>37236.16438356168</x:v>
      </x:c>
      <x:c r="K52" s="17" t="n">
        <x:f>'参数与结论'!$B$30</x:f>
        <x:v>80</x:v>
      </x:c>
      <x:c r="L52" s="17" t="n">
        <x:f>K52/B52*'参数与结论'!$B$16/D52*10000</x:f>
        <x:v>0.01042857142857143</x:v>
      </x:c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</x:sheetData>
  <x:conditionalFormatting sqref="J5:J52">
    <x:cfRule type="cellIs" dxfId="0" priority="1" operator="lessThan">
      <x:formula>0</x:formula>
    </x:cfRule>
  </x:conditionalFormatting>
  <x:pageMargins left="0.7" right="0.7" top="0.75" bottom="0.75" header="0.3" footer="0.3"/>
</x:worksheet>
</file>